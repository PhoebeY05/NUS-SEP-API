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nusu.sharepoint.com/sites/SEPMatters/Shared Documents/General/"/>
    </mc:Choice>
  </mc:AlternateContent>
  <xr:revisionPtr revIDLastSave="72" documentId="8_{082C1D4A-57EA-4C49-B8EB-3A4F9B57F5F3}" xr6:coauthVersionLast="47" xr6:coauthVersionMax="47" xr10:uidLastSave="{412C873F-1638-43A0-8C35-A45365267B3B}"/>
  <bookViews>
    <workbookView xWindow="-110" yWindow="-110" windowWidth="19420" windowHeight="10300" xr2:uid="{43F50C1D-C2E3-49B7-AEF9-5E934AC20B9E}"/>
  </bookViews>
  <sheets>
    <sheet name="Calculator" sheetId="2" r:id="rId1"/>
    <sheet name="Credit Scores" sheetId="1" state="hidden" r:id="rId2"/>
    <sheet name="List" sheetId="3" state="hidden" r:id="rId3"/>
  </sheets>
  <definedNames>
    <definedName name="_xlnm._FilterDatabase" localSheetId="1" hidden="1">'Credit Scores'!$A$1:$F$367</definedName>
    <definedName name="Country">OFFSET(List!$C$2,0,0,COUNTA(List!$C:$C)-1,1)</definedName>
    <definedName name="StudentHomeFaculty">OFFSET(List!$A$2,0,0,COUNTA(List!$A:$A)-1,1)</definedName>
    <definedName name="University">OFFSET(List!$D$2,0,0,COUNTA(List!$D:$D)-1,1)</definedName>
    <definedName name="UwideFaculty">OFFSET(List!$B$2,0,0,COUNTA(List!$B:$B)-1,1)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6" i="1" l="1"/>
  <c r="G365" i="1"/>
  <c r="G364" i="1"/>
  <c r="G363" i="1"/>
  <c r="G362" i="1"/>
  <c r="G112" i="1"/>
  <c r="G188" i="1"/>
  <c r="G89" i="1"/>
  <c r="G262" i="1"/>
  <c r="G130" i="1"/>
  <c r="G263" i="1"/>
  <c r="G135" i="1"/>
  <c r="G131" i="1"/>
  <c r="G233" i="1"/>
  <c r="G38" i="2"/>
  <c r="F38" i="2"/>
  <c r="B37" i="2"/>
  <c r="C36" i="2" a="1"/>
  <c r="C36" i="2" s="1"/>
  <c r="C35" i="2" a="1"/>
  <c r="C35" i="2" s="1"/>
  <c r="C34" i="2" a="1"/>
  <c r="C34" i="2" s="1"/>
  <c r="C33" i="2" a="1"/>
  <c r="C33" i="2" s="1"/>
  <c r="C32" i="2" a="1"/>
  <c r="C32" i="2" s="1"/>
  <c r="C31" i="2" a="1"/>
  <c r="C31" i="2" s="1"/>
  <c r="C30" i="2" a="1"/>
  <c r="C30" i="2" s="1"/>
  <c r="C29" i="2" a="1"/>
  <c r="C29" i="2" s="1"/>
  <c r="C28" i="2" a="1"/>
  <c r="C28" i="2" s="1"/>
  <c r="C27" i="2" a="1"/>
  <c r="C27" i="2" s="1"/>
  <c r="G28" i="1"/>
  <c r="G298" i="1"/>
  <c r="G275" i="1"/>
  <c r="G367" i="1"/>
  <c r="G336" i="1"/>
  <c r="G156" i="1"/>
  <c r="G143" i="1"/>
  <c r="G48" i="1"/>
  <c r="G59" i="1"/>
  <c r="D2" i="3" a="1"/>
  <c r="D2" i="3" s="1"/>
  <c r="C2" i="3" a="1"/>
  <c r="C2" i="3" s="1"/>
  <c r="B2" i="3" a="1"/>
  <c r="B2" i="3" s="1"/>
  <c r="C37" i="2" l="1"/>
  <c r="G359" i="1"/>
  <c r="G105" i="1"/>
  <c r="G2" i="1"/>
  <c r="G3" i="1"/>
  <c r="G21" i="1"/>
  <c r="G23" i="1"/>
  <c r="G24" i="1"/>
  <c r="G31" i="1"/>
  <c r="G39" i="1"/>
  <c r="G44" i="1"/>
  <c r="G45" i="1"/>
  <c r="G46" i="1"/>
  <c r="G72" i="1"/>
  <c r="G73" i="1"/>
  <c r="G77" i="1"/>
  <c r="G81" i="1"/>
  <c r="G83" i="1"/>
  <c r="G85" i="1"/>
  <c r="G96" i="1"/>
  <c r="G104" i="1"/>
  <c r="G138" i="1"/>
  <c r="G164" i="1"/>
  <c r="G163" i="1"/>
  <c r="G165" i="1"/>
  <c r="G166" i="1"/>
  <c r="G173" i="1"/>
  <c r="G174" i="1"/>
  <c r="G172" i="1"/>
  <c r="G175" i="1"/>
  <c r="G176" i="1"/>
  <c r="G193" i="1"/>
  <c r="G199" i="1"/>
  <c r="G217" i="1"/>
  <c r="G225" i="1"/>
  <c r="G259" i="1"/>
  <c r="G296" i="1"/>
  <c r="G333" i="1"/>
  <c r="G360" i="1"/>
  <c r="G6" i="1"/>
  <c r="G8" i="1"/>
  <c r="G25" i="1"/>
  <c r="G26" i="1"/>
  <c r="G35" i="1"/>
  <c r="G37" i="1"/>
  <c r="G40" i="1"/>
  <c r="G47" i="1"/>
  <c r="G53" i="1"/>
  <c r="G63" i="1"/>
  <c r="G88" i="1"/>
  <c r="G90" i="1"/>
  <c r="G93" i="1"/>
  <c r="G100" i="1"/>
  <c r="G137" i="1"/>
  <c r="G269" i="1"/>
  <c r="G280" i="1"/>
  <c r="G340" i="1"/>
  <c r="G345" i="1"/>
  <c r="G350" i="1"/>
  <c r="G356" i="1"/>
  <c r="G357" i="1"/>
  <c r="G358" i="1"/>
  <c r="G341" i="1" l="1"/>
  <c r="G320" i="1"/>
  <c r="G316" i="1"/>
  <c r="G317" i="1"/>
  <c r="G312" i="1"/>
  <c r="G307" i="1"/>
  <c r="G304" i="1"/>
  <c r="G279" i="1"/>
  <c r="G247" i="1"/>
  <c r="G213" i="1" l="1"/>
  <c r="G223" i="1"/>
  <c r="G214" i="1"/>
  <c r="G215" i="1"/>
  <c r="G216" i="1"/>
  <c r="G224" i="1"/>
  <c r="G218" i="1"/>
  <c r="G219" i="1"/>
  <c r="G222" i="1"/>
  <c r="G226" i="1"/>
  <c r="G227" i="1"/>
  <c r="G228" i="1"/>
  <c r="G229" i="1"/>
  <c r="G240" i="1"/>
  <c r="G230" i="1"/>
  <c r="G231" i="1"/>
  <c r="G232" i="1"/>
  <c r="G241" i="1"/>
  <c r="G242" i="1"/>
  <c r="G243" i="1"/>
  <c r="G244" i="1"/>
  <c r="G234" i="1"/>
  <c r="G235" i="1"/>
  <c r="G245" i="1"/>
  <c r="G236" i="1"/>
  <c r="G246" i="1"/>
  <c r="G248" i="1"/>
  <c r="G249" i="1"/>
  <c r="G250" i="1"/>
  <c r="G237" i="1"/>
  <c r="G251" i="1"/>
  <c r="G252" i="1"/>
  <c r="G253" i="1"/>
  <c r="G254" i="1"/>
  <c r="G255" i="1"/>
  <c r="G256" i="1"/>
  <c r="G257" i="1"/>
  <c r="G238" i="1"/>
  <c r="G239" i="1"/>
  <c r="G258" i="1"/>
  <c r="G261" i="1"/>
  <c r="G264" i="1"/>
  <c r="G265" i="1"/>
  <c r="G266" i="1"/>
  <c r="G267" i="1"/>
  <c r="G268" i="1"/>
  <c r="G270" i="1"/>
  <c r="G271" i="1"/>
  <c r="G283" i="1"/>
  <c r="G284" i="1"/>
  <c r="G273" i="1"/>
  <c r="G274" i="1"/>
  <c r="G276" i="1"/>
  <c r="G277" i="1"/>
  <c r="G278" i="1"/>
  <c r="G285" i="1"/>
  <c r="G286" i="1"/>
  <c r="G282" i="1"/>
  <c r="G287" i="1"/>
  <c r="G288" i="1"/>
  <c r="G292" i="1"/>
  <c r="G293" i="1"/>
  <c r="G291" i="1"/>
  <c r="G294" i="1"/>
  <c r="G295" i="1"/>
  <c r="G297" i="1"/>
  <c r="G299" i="1"/>
  <c r="G300" i="1"/>
  <c r="G301" i="1"/>
  <c r="G302" i="1"/>
  <c r="G303" i="1"/>
  <c r="G305" i="1"/>
  <c r="G313" i="1"/>
  <c r="G314" i="1"/>
  <c r="G306" i="1"/>
  <c r="G308" i="1"/>
  <c r="G311" i="1"/>
  <c r="G315" i="1"/>
  <c r="G318" i="1"/>
  <c r="G319" i="1"/>
  <c r="G321" i="1"/>
  <c r="G326" i="1"/>
  <c r="G327" i="1"/>
  <c r="G325" i="1"/>
  <c r="G328" i="1"/>
  <c r="G334" i="1"/>
  <c r="G342" i="1"/>
  <c r="G192" i="1"/>
  <c r="G197" i="1"/>
  <c r="G194" i="1"/>
  <c r="G200" i="1"/>
  <c r="G203" i="1"/>
  <c r="G204" i="1"/>
  <c r="G206" i="1"/>
  <c r="G208" i="1"/>
  <c r="G209" i="1"/>
  <c r="G210" i="1"/>
  <c r="G211" i="1"/>
  <c r="G352" i="1" l="1"/>
  <c r="G349" i="1"/>
  <c r="G324" i="1"/>
  <c r="G310" i="1"/>
  <c r="G202" i="1"/>
  <c r="G196" i="1"/>
  <c r="G338" i="1"/>
  <c r="G361" i="1"/>
  <c r="G355" i="1"/>
  <c r="G354" i="1"/>
  <c r="G353" i="1"/>
  <c r="G351" i="1"/>
  <c r="G348" i="1"/>
  <c r="G347" i="1"/>
  <c r="G346" i="1"/>
  <c r="G344" i="1"/>
  <c r="G343" i="1"/>
  <c r="G339" i="1"/>
  <c r="G337" i="1"/>
  <c r="G335" i="1"/>
  <c r="G170" i="1" l="1"/>
  <c r="G125" i="1"/>
  <c r="G124" i="1"/>
  <c r="G107" i="1"/>
  <c r="G332" i="1"/>
  <c r="G331" i="1"/>
  <c r="G330" i="1"/>
  <c r="G329" i="1"/>
  <c r="G323" i="1"/>
  <c r="G322" i="1"/>
  <c r="G309" i="1"/>
  <c r="G290" i="1"/>
  <c r="G289" i="1"/>
  <c r="G281" i="1"/>
  <c r="G272" i="1"/>
  <c r="G260" i="1"/>
  <c r="G221" i="1"/>
  <c r="G220" i="1"/>
  <c r="G212" i="1"/>
  <c r="G207" i="1"/>
  <c r="G205" i="1"/>
  <c r="G201" i="1"/>
  <c r="G198" i="1"/>
  <c r="G195" i="1"/>
  <c r="G191" i="1"/>
  <c r="G190" i="1"/>
  <c r="G189" i="1"/>
  <c r="G178" i="1"/>
  <c r="G171" i="1"/>
  <c r="G169" i="1"/>
  <c r="G168" i="1"/>
  <c r="G167" i="1"/>
  <c r="G187" i="1"/>
  <c r="G162" i="1"/>
  <c r="G161" i="1"/>
  <c r="G160" i="1"/>
  <c r="G158" i="1"/>
  <c r="G182" i="1"/>
  <c r="G186" i="1"/>
  <c r="G185" i="1"/>
  <c r="G181" i="1"/>
  <c r="G180" i="1"/>
  <c r="G184" i="1"/>
  <c r="G179" i="1"/>
  <c r="G183" i="1"/>
  <c r="G177" i="1"/>
  <c r="G152" i="1"/>
  <c r="G157" i="1"/>
  <c r="G147" i="1"/>
  <c r="G151" i="1"/>
  <c r="G155" i="1"/>
  <c r="G154" i="1"/>
  <c r="G144" i="1"/>
  <c r="G150" i="1"/>
  <c r="G141" i="1"/>
  <c r="G139" i="1"/>
  <c r="G149" i="1"/>
  <c r="G148" i="1"/>
  <c r="G136" i="1"/>
  <c r="G134" i="1"/>
  <c r="G133" i="1"/>
  <c r="G132" i="1"/>
  <c r="G129" i="1"/>
  <c r="G128" i="1"/>
  <c r="G127" i="1"/>
  <c r="G126" i="1"/>
  <c r="G123" i="1"/>
  <c r="G153" i="1"/>
  <c r="G146" i="1"/>
  <c r="G145" i="1"/>
  <c r="G142" i="1"/>
  <c r="G140" i="1"/>
  <c r="G113" i="1"/>
  <c r="G122" i="1"/>
  <c r="G111" i="1"/>
  <c r="G121" i="1"/>
  <c r="G120" i="1"/>
  <c r="G119" i="1"/>
  <c r="G110" i="1"/>
  <c r="G118" i="1"/>
  <c r="G109" i="1"/>
  <c r="G106" i="1"/>
  <c r="G103" i="1"/>
  <c r="G102" i="1"/>
  <c r="G101" i="1"/>
  <c r="G108" i="1"/>
  <c r="G117" i="1"/>
  <c r="G116" i="1"/>
  <c r="G98" i="1"/>
  <c r="G97" i="1"/>
  <c r="G115" i="1"/>
  <c r="G94" i="1"/>
  <c r="G114" i="1"/>
  <c r="G91" i="1"/>
  <c r="G87" i="1"/>
  <c r="G86" i="1"/>
  <c r="G84" i="1"/>
  <c r="G82" i="1"/>
  <c r="G80" i="1"/>
  <c r="G79" i="1"/>
  <c r="G78" i="1"/>
  <c r="G76" i="1"/>
  <c r="G75" i="1"/>
  <c r="G74" i="1"/>
  <c r="G71" i="1"/>
  <c r="G70" i="1"/>
  <c r="G69" i="1"/>
  <c r="G68" i="1"/>
  <c r="G67" i="1"/>
  <c r="G66" i="1"/>
  <c r="G65" i="1"/>
  <c r="G64" i="1"/>
  <c r="G62" i="1"/>
  <c r="G61" i="1"/>
  <c r="G60" i="1"/>
  <c r="G58" i="1"/>
  <c r="G57" i="1"/>
  <c r="G56" i="1"/>
  <c r="G55" i="1"/>
  <c r="G54" i="1"/>
  <c r="G52" i="1"/>
  <c r="G51" i="1"/>
  <c r="G50" i="1"/>
  <c r="G49" i="1"/>
  <c r="G43" i="1"/>
  <c r="G42" i="1"/>
  <c r="G41" i="1"/>
  <c r="G38" i="1"/>
  <c r="G36" i="1"/>
  <c r="G34" i="1"/>
  <c r="G33" i="1"/>
  <c r="G32" i="1"/>
  <c r="G30" i="1"/>
  <c r="G29" i="1"/>
  <c r="G27" i="1"/>
  <c r="G22" i="1"/>
  <c r="G20" i="1"/>
  <c r="G19" i="1"/>
  <c r="G18" i="1"/>
  <c r="G17" i="1"/>
  <c r="G16" i="1"/>
  <c r="G15" i="1"/>
  <c r="G14" i="1"/>
  <c r="G13" i="1"/>
  <c r="G12" i="1"/>
  <c r="G11" i="1"/>
  <c r="G10" i="1"/>
  <c r="G9" i="1"/>
  <c r="G7" i="1"/>
  <c r="G5" i="1"/>
  <c r="G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<sst xmlns="http://schemas.openxmlformats.org/spreadsheetml/2006/main" count="2258" uniqueCount="459">
  <si>
    <r>
      <t xml:space="preserve">SEP Credit Transfer Calculator </t>
    </r>
    <r>
      <rPr>
        <b/>
        <sz val="16"/>
        <color rgb="FF003D7C"/>
        <rFont val="Arial"/>
        <family val="2"/>
      </rPr>
      <t>(for outgoing students from AY2026/27 onwards)</t>
    </r>
    <r>
      <rPr>
        <b/>
        <sz val="20"/>
        <color rgb="FF003D7C"/>
        <rFont val="Arial"/>
        <family val="2"/>
      </rPr>
      <t xml:space="preserve"> </t>
    </r>
  </si>
  <si>
    <t>Use this calculator to estimate the NUS unit equivalent of your Partner University (PU) courses and plan your semester workload.</t>
  </si>
  <si>
    <t>Important: This tool is for guidance only. Final course mappings are subject to approval from the respective faculties. Depending on the Faculty, students may transfer a maximum of 20 - 24 
NUS units for semester-long SEPs (excluding summer and winter programmes); please check with your faculty SEP coordinator for the exact number.</t>
  </si>
  <si>
    <t>Step 1. Select your Home Faculty</t>
  </si>
  <si>
    <t>Step 2. Select whether you wish to embark on a University-wide or Faculty-level SEP</t>
  </si>
  <si>
    <t>Step 3. Select country of PU</t>
  </si>
  <si>
    <t>Step 4. Select the PU</t>
  </si>
  <si>
    <t>Step 5. Key in the PU Course Credits for each course you wish to take at the PU and view the NUS Equivalent Units in SEP Credit Transfer Conversion Table</t>
  </si>
  <si>
    <t>Step 6. View the total workload at the PU and the NUS equivalent in cell F30 and G30, respectively. Do take note of any limit the PU may impose on the total number of courses exchange students can take.</t>
  </si>
  <si>
    <t>Step 7 (optional). Key in any additional courses and their corresponding credits in cells E25 - E29 and F25 - F29 if you plan to take more than 5 courses.</t>
  </si>
  <si>
    <t>To select another PU, remove all entries from Steps 1 to 5 and start over.</t>
  </si>
  <si>
    <t>Note: If the PU you are interested in is not listed, please contact your faculty SEP coordinator</t>
  </si>
  <si>
    <t>U-wide/Faculty-Level PUs</t>
  </si>
  <si>
    <t>Faculty SEP Coordinators</t>
  </si>
  <si>
    <t>FAQ on the calculator</t>
  </si>
  <si>
    <t>Step 1</t>
  </si>
  <si>
    <t>Student's Home Faculty</t>
  </si>
  <si>
    <t>Step 2</t>
  </si>
  <si>
    <t>U-wide/Faculty</t>
  </si>
  <si>
    <t>Step 3</t>
  </si>
  <si>
    <t>Country</t>
  </si>
  <si>
    <t>Step 4</t>
  </si>
  <si>
    <t>Partner University Name</t>
  </si>
  <si>
    <t>SEP Credit Transfer Conversion Table</t>
  </si>
  <si>
    <t xml:space="preserve">PU Course </t>
  </si>
  <si>
    <t>PU Course Credits for Transfer</t>
  </si>
  <si>
    <t>NUS Equivalent Units 
(Rounded Up)</t>
  </si>
  <si>
    <t>How do I use the calculator to plan my semester workload at a partner university?</t>
  </si>
  <si>
    <t>Course 1</t>
  </si>
  <si>
    <t xml:space="preserve">Let’s use the normal semester workload of 20 NUS units as an example. </t>
  </si>
  <si>
    <t>Course 2</t>
  </si>
  <si>
    <t>Add up the NUS equivalent units for each course you plan to transfer.</t>
  </si>
  <si>
    <t>Course 3</t>
  </si>
  <si>
    <r>
      <t xml:space="preserve">E.g., if you plan to take the following five courses at </t>
    </r>
    <r>
      <rPr>
        <b/>
        <sz val="11"/>
        <color rgb="FF0000FF"/>
        <rFont val="Arial"/>
        <family val="2"/>
      </rPr>
      <t>Purdue University:</t>
    </r>
  </si>
  <si>
    <t>Course 4</t>
  </si>
  <si>
    <t>Course 5</t>
  </si>
  <si>
    <t>Total No. of Units</t>
  </si>
  <si>
    <t>Region</t>
  </si>
  <si>
    <t>U-wide/ Faculty</t>
  </si>
  <si>
    <t>University Name</t>
  </si>
  <si>
    <t>Regular semester workload for full-time undergraduate students</t>
  </si>
  <si>
    <t>Units</t>
  </si>
  <si>
    <t>Conversion</t>
  </si>
  <si>
    <t>Remarks</t>
  </si>
  <si>
    <t>Americas</t>
  </si>
  <si>
    <t>BIZ</t>
  </si>
  <si>
    <t>Brazil</t>
  </si>
  <si>
    <t>FGV EAESP - Fundação Getulio Vargas São Paulo School of Business Administration</t>
  </si>
  <si>
    <t>FGV credits</t>
  </si>
  <si>
    <t>No Change by BIZ</t>
  </si>
  <si>
    <t>CDE</t>
  </si>
  <si>
    <t>University of Sao Paulo</t>
  </si>
  <si>
    <t>credits</t>
  </si>
  <si>
    <t>GRO's Info tallies with PVO's search</t>
  </si>
  <si>
    <t>U-wide</t>
  </si>
  <si>
    <t>Canada</t>
  </si>
  <si>
    <t>Concordia University</t>
  </si>
  <si>
    <t>GRO Info &amp; FASS website Tallies</t>
  </si>
  <si>
    <t xml:space="preserve">Dalhousie University </t>
  </si>
  <si>
    <t>credit hours</t>
  </si>
  <si>
    <t>HEC Montréal</t>
  </si>
  <si>
    <t>units</t>
  </si>
  <si>
    <t>GRO Info - Verified by PVO</t>
  </si>
  <si>
    <t>McGill University</t>
  </si>
  <si>
    <t>McMaster University</t>
  </si>
  <si>
    <t>Queen’s University at Kingston</t>
  </si>
  <si>
    <t>Queen's University Smith School of Business</t>
  </si>
  <si>
    <t>Queen’s units</t>
  </si>
  <si>
    <t>Simon Fraser University</t>
  </si>
  <si>
    <t>University of Alberta</t>
  </si>
  <si>
    <t xml:space="preserve">University of British Columbia </t>
  </si>
  <si>
    <t>University of Calgary</t>
  </si>
  <si>
    <t>University of Guelph</t>
  </si>
  <si>
    <t>academic units</t>
  </si>
  <si>
    <t>University of Ottawa</t>
  </si>
  <si>
    <t>University of Toronto</t>
  </si>
  <si>
    <t>University of Victoria</t>
  </si>
  <si>
    <t>University of Waterloo</t>
  </si>
  <si>
    <t>Western University</t>
  </si>
  <si>
    <t>Western University Ivey Business School</t>
  </si>
  <si>
    <t>York University</t>
  </si>
  <si>
    <t>York University Schulich School of Business</t>
  </si>
  <si>
    <t>SSB credits</t>
  </si>
  <si>
    <t>Mexico</t>
  </si>
  <si>
    <t>ITAM – Autonomous Technological Institute of Mexico</t>
  </si>
  <si>
    <t>Monterrey Institute of Technology and Higher Education</t>
  </si>
  <si>
    <t>NUSC</t>
  </si>
  <si>
    <t>USA</t>
  </si>
  <si>
    <t>Amherst College</t>
  </si>
  <si>
    <t>Arizona State University</t>
  </si>
  <si>
    <t>Boston College</t>
  </si>
  <si>
    <t>Verified by PVO</t>
  </si>
  <si>
    <t>Boston University</t>
  </si>
  <si>
    <t>Brandeis University</t>
  </si>
  <si>
    <t>Carleton College</t>
  </si>
  <si>
    <t>Carnegie Mellon University</t>
  </si>
  <si>
    <t>Case Western Reserve University</t>
  </si>
  <si>
    <t>Clarkson University</t>
  </si>
  <si>
    <t>FoS</t>
  </si>
  <si>
    <t>Colgate University</t>
  </si>
  <si>
    <t>College of William &amp; Mary</t>
  </si>
  <si>
    <t>Cooper Union for the Advancement of Science and Art</t>
  </si>
  <si>
    <t>Cornell University</t>
  </si>
  <si>
    <t>Emory University</t>
  </si>
  <si>
    <t>Franklin W. Olin College of Engineering</t>
  </si>
  <si>
    <t xml:space="preserve">George Washington University </t>
  </si>
  <si>
    <t>Georgetown University</t>
  </si>
  <si>
    <t>Georgia Institute of Technology</t>
  </si>
  <si>
    <t>Iowa State University</t>
  </si>
  <si>
    <t>John Hopkins University</t>
  </si>
  <si>
    <t>Michigan State University</t>
  </si>
  <si>
    <t>Units Confirmed by BIZ</t>
  </si>
  <si>
    <t>Northwestern University (quarter exchange)</t>
  </si>
  <si>
    <t>Ohio State University</t>
  </si>
  <si>
    <t>Provided by CDE to PVO</t>
  </si>
  <si>
    <t>Pennsylvania State University</t>
  </si>
  <si>
    <t>Princeton University</t>
  </si>
  <si>
    <t>courses</t>
  </si>
  <si>
    <t>Purdue University</t>
  </si>
  <si>
    <t>Rice University</t>
  </si>
  <si>
    <t>Smith College</t>
  </si>
  <si>
    <t>Texas A&amp;M University</t>
  </si>
  <si>
    <t>Tulane University</t>
  </si>
  <si>
    <t>Tulane University School of Business</t>
  </si>
  <si>
    <t>University of Alaska Fairbanks</t>
  </si>
  <si>
    <t>University of Arizona</t>
  </si>
  <si>
    <t>University of California, Berkeley &amp; Merced (semester exchange)</t>
  </si>
  <si>
    <t>University of California, except Berkeley &amp; Merced (quarter exchange)</t>
  </si>
  <si>
    <t xml:space="preserve">University of Colorado Boulder </t>
  </si>
  <si>
    <t>University of Connecticut</t>
  </si>
  <si>
    <t>University of Delaware</t>
  </si>
  <si>
    <t>University of Florida</t>
  </si>
  <si>
    <t>University of Georgia</t>
  </si>
  <si>
    <t>credits </t>
  </si>
  <si>
    <t>University of Hawaii at Manoa</t>
  </si>
  <si>
    <t>University of Illinois at Urbana Champaign</t>
  </si>
  <si>
    <t>FASS</t>
  </si>
  <si>
    <t>University of Kansas</t>
  </si>
  <si>
    <t>University of Maryland</t>
  </si>
  <si>
    <t>University of Miami</t>
  </si>
  <si>
    <t>University of Michigan</t>
  </si>
  <si>
    <t>University of Michigan Ross School of Business</t>
  </si>
  <si>
    <t>Ross credits</t>
  </si>
  <si>
    <t>University of Minnesota</t>
  </si>
  <si>
    <t>University of North Carolina at Chapel Hill</t>
  </si>
  <si>
    <t>University of North Carolina at Chapel Hill Kenan-Flagler Business School</t>
  </si>
  <si>
    <t>UNC credits</t>
  </si>
  <si>
    <t>University of Notre Dame</t>
  </si>
  <si>
    <t>University of Oregon (quarter exchange)</t>
  </si>
  <si>
    <t>University of Pennsylvania</t>
  </si>
  <si>
    <t>course units (CU)</t>
  </si>
  <si>
    <t>course units</t>
  </si>
  <si>
    <t>University of Pittsburgh</t>
  </si>
  <si>
    <t>University of Southern California - Viterbi School of Engineering</t>
  </si>
  <si>
    <t>University of Texas at Austin</t>
  </si>
  <si>
    <t>University of Texas at Austin, McCombs School of Business</t>
  </si>
  <si>
    <t>University of Virginia</t>
  </si>
  <si>
    <t>University of Washington, Seattle (quarter exchange)</t>
  </si>
  <si>
    <t>University of Wisconsin-Madison</t>
  </si>
  <si>
    <t>Vanderbilt University</t>
  </si>
  <si>
    <t>Wellesley College</t>
  </si>
  <si>
    <t>Asia &amp; Australasia</t>
  </si>
  <si>
    <t>Australia</t>
  </si>
  <si>
    <t>Australian National University</t>
  </si>
  <si>
    <t>La Trobe University</t>
  </si>
  <si>
    <t>Monash University</t>
  </si>
  <si>
    <t>Queensland University of Technology</t>
  </si>
  <si>
    <t>QUT Credit Points</t>
  </si>
  <si>
    <t>Adelaide University</t>
  </si>
  <si>
    <t>University of Melbourne</t>
  </si>
  <si>
    <t>points</t>
  </si>
  <si>
    <t>University of Newcastle</t>
  </si>
  <si>
    <t>University of Queensland</t>
  </si>
  <si>
    <t>University of Sydney</t>
  </si>
  <si>
    <t>cp</t>
  </si>
  <si>
    <t>University of Western Australia</t>
  </si>
  <si>
    <t>University of New South Wales</t>
  </si>
  <si>
    <t>China</t>
  </si>
  <si>
    <t>Chinese University of Hong Kong, Shenzhen</t>
  </si>
  <si>
    <t>Standardizing China, Japan, South Korea and Taiwan - Open for discussion</t>
  </si>
  <si>
    <t>Peking University</t>
  </si>
  <si>
    <t>Peking University Guanghua School of Management</t>
  </si>
  <si>
    <t>Southeast University</t>
  </si>
  <si>
    <t>Tsinghua University School of Economics and Management</t>
  </si>
  <si>
    <t>Zhejiang University, International Business School</t>
  </si>
  <si>
    <t>Chongqing University</t>
  </si>
  <si>
    <t>Fudan University</t>
  </si>
  <si>
    <t>Nanjing University</t>
  </si>
  <si>
    <t>Shanghai Jiao Tong University</t>
  </si>
  <si>
    <t>Tianjin University</t>
  </si>
  <si>
    <t>Tongji University</t>
  </si>
  <si>
    <t>Tsinghua University</t>
  </si>
  <si>
    <t>Xiamen University</t>
  </si>
  <si>
    <t>Hong Kong</t>
  </si>
  <si>
    <t>Chinese University of Hong Kong</t>
  </si>
  <si>
    <t>CUHK credits</t>
  </si>
  <si>
    <t>City University of Hong Kong</t>
  </si>
  <si>
    <t>City University of Hong Kong College of Business</t>
  </si>
  <si>
    <t>Hong Kong Polytechnic University</t>
  </si>
  <si>
    <t>Credits</t>
  </si>
  <si>
    <t>Hong Kong University of Science and Technology</t>
  </si>
  <si>
    <t>Hong Kong University of Science and Technology School of Business and Management</t>
  </si>
  <si>
    <t>SoC</t>
  </si>
  <si>
    <t>Hong Kong University of Science and Technology School of Engineering</t>
  </si>
  <si>
    <t>University of Hong Kong</t>
  </si>
  <si>
    <t>University of Hong Kong Business School</t>
  </si>
  <si>
    <t>India</t>
  </si>
  <si>
    <t>Indian Institute of Technology, Bombay</t>
  </si>
  <si>
    <t>Indonesia</t>
  </si>
  <si>
    <t>University of Gadjah Mada</t>
  </si>
  <si>
    <t>Japan</t>
  </si>
  <si>
    <t>Akita International University</t>
  </si>
  <si>
    <t>International Christian University</t>
  </si>
  <si>
    <t>Keio University</t>
  </si>
  <si>
    <t>Kwansei Gakuin University</t>
  </si>
  <si>
    <t>Kyoto Institute of Technology</t>
  </si>
  <si>
    <t>Kyoto University</t>
  </si>
  <si>
    <t>Meiji University</t>
  </si>
  <si>
    <t>Meiji University (School of Global Japanese Studies)</t>
  </si>
  <si>
    <t>Nagoya University</t>
  </si>
  <si>
    <t>Rikkyo University</t>
  </si>
  <si>
    <t>Ritsumeikan University</t>
  </si>
  <si>
    <t>Tokyo University of Foreign Studies</t>
  </si>
  <si>
    <t>University of Tokyo (College of Arts and Sciences)</t>
  </si>
  <si>
    <t>Osaka University</t>
  </si>
  <si>
    <t>Tohoku University</t>
  </si>
  <si>
    <t>Institute of Science Tokyo</t>
  </si>
  <si>
    <t>University of Tokyo</t>
  </si>
  <si>
    <t>Waseda University</t>
  </si>
  <si>
    <t>New Zealand</t>
  </si>
  <si>
    <t>University of Auckland</t>
  </si>
  <si>
    <t>University of Canterbury</t>
  </si>
  <si>
    <t>University of Otago</t>
  </si>
  <si>
    <t>Victoria University of Wellington</t>
  </si>
  <si>
    <t>South Korea</t>
  </si>
  <si>
    <t>Ewha Womans University</t>
  </si>
  <si>
    <t>Hankuk University of Foreign Studies</t>
  </si>
  <si>
    <t>Hanyang University</t>
  </si>
  <si>
    <t>Korea University Business School</t>
  </si>
  <si>
    <t>Pohang University of Science and Technology</t>
  </si>
  <si>
    <t>Seoul National University</t>
  </si>
  <si>
    <t>Seoul National University Business School</t>
  </si>
  <si>
    <t>University of Seoul</t>
  </si>
  <si>
    <t>Korea Advanced Institute of Science and Technology</t>
  </si>
  <si>
    <t>Korea University</t>
  </si>
  <si>
    <t>Yonsei University</t>
  </si>
  <si>
    <t>Taiwan</t>
  </si>
  <si>
    <t>Chang Gung University</t>
  </si>
  <si>
    <t>National Chengchi University</t>
  </si>
  <si>
    <t>National Chengchi University College of Commerce</t>
  </si>
  <si>
    <t>National Taiwan University College of Management</t>
  </si>
  <si>
    <t>National Taiwan University of Science and Technology</t>
  </si>
  <si>
    <t>Tunghai University</t>
  </si>
  <si>
    <t>National Cheng Kung University</t>
  </si>
  <si>
    <t>National Taiwan University</t>
  </si>
  <si>
    <t>National Tsing Hua University</t>
  </si>
  <si>
    <t>National Yang Ming Chiao Tung University</t>
  </si>
  <si>
    <t>Thailand</t>
  </si>
  <si>
    <t>Chulalongkorn University</t>
  </si>
  <si>
    <t>Mahidol University</t>
  </si>
  <si>
    <t>Europe</t>
  </si>
  <si>
    <t>Austria</t>
  </si>
  <si>
    <t>Management Center Innsbruck Internationale Hochschule GmbH</t>
  </si>
  <si>
    <t>ECTS</t>
  </si>
  <si>
    <t>University of Innsbruck</t>
  </si>
  <si>
    <t>Vienna University of Economics and Business</t>
  </si>
  <si>
    <t>European University - standard</t>
  </si>
  <si>
    <t>Belgium</t>
  </si>
  <si>
    <t>Catholic University of Louvain, Louvain School of Management</t>
  </si>
  <si>
    <t>Units Proposed by BIZ</t>
  </si>
  <si>
    <t>KU Leuven</t>
  </si>
  <si>
    <t>University of Antwerp</t>
  </si>
  <si>
    <t>University of Brussels, Solvay Business School</t>
  </si>
  <si>
    <t>Croatia</t>
  </si>
  <si>
    <t>University of Zagreb</t>
  </si>
  <si>
    <t>Czech Republic</t>
  </si>
  <si>
    <t>Czech Technical University in Prague</t>
  </si>
  <si>
    <t>Denmark</t>
  </si>
  <si>
    <t>Aalborg University</t>
  </si>
  <si>
    <t>Aarhus University</t>
  </si>
  <si>
    <t>Copenhagen Business School</t>
  </si>
  <si>
    <t>Technical University of Denmark</t>
  </si>
  <si>
    <t>University of Copenhagen</t>
  </si>
  <si>
    <t>University of Southern Denmark</t>
  </si>
  <si>
    <t>Estonia</t>
  </si>
  <si>
    <t>Tallinn University of Technology</t>
  </si>
  <si>
    <t>Finland</t>
  </si>
  <si>
    <t>Aalto University</t>
  </si>
  <si>
    <t>Aalto University, Helsinki</t>
  </si>
  <si>
    <t>Aalto University, Mikkeli</t>
  </si>
  <si>
    <t>Tampere University</t>
  </si>
  <si>
    <t>University of Helsinki</t>
  </si>
  <si>
    <t>University of Oulu</t>
  </si>
  <si>
    <t>France</t>
  </si>
  <si>
    <t>Ecole Speciale d'Architecture</t>
  </si>
  <si>
    <t>ENSCI Les Ateliers - Ecole National Superieure de Creation Industrielle</t>
  </si>
  <si>
    <t>ESSEC Business School</t>
  </si>
  <si>
    <t>HEC Paris</t>
  </si>
  <si>
    <t>Institut Superieur de Design</t>
  </si>
  <si>
    <t>ISAE-Supaero</t>
  </si>
  <si>
    <t>Sciences Po</t>
  </si>
  <si>
    <t>Sciences Po Bordeaux</t>
  </si>
  <si>
    <t>Strate School of Design</t>
  </si>
  <si>
    <t>CentraleSupélec</t>
  </si>
  <si>
    <t>INSA Lyon – National Institute of Applied Sciences of Lyon</t>
  </si>
  <si>
    <t>Mines ParisTech</t>
  </si>
  <si>
    <t>Télécom Paris</t>
  </si>
  <si>
    <t>University Grenoble Alpes</t>
  </si>
  <si>
    <t>University of Technology of Compiègne</t>
  </si>
  <si>
    <t>University of Technology of Troyes</t>
  </si>
  <si>
    <t>Germany</t>
  </si>
  <si>
    <t>Esslingen University of Applied Sciences</t>
  </si>
  <si>
    <t>European Business School</t>
  </si>
  <si>
    <t>Georg-August-University</t>
  </si>
  <si>
    <t>Mannheim Business School</t>
  </si>
  <si>
    <t>RPTU Kaiserslautern-Landau</t>
  </si>
  <si>
    <t>Technical University of Berlin</t>
  </si>
  <si>
    <t>University of Cologne</t>
  </si>
  <si>
    <t>University of Wuppertal</t>
  </si>
  <si>
    <t>WHU-Otto Beisheim School of Management</t>
  </si>
  <si>
    <t>Free University of Berlin</t>
  </si>
  <si>
    <t>Hamburg University of Technology (TUHH)</t>
  </si>
  <si>
    <t>Humboldt University of Berlin</t>
  </si>
  <si>
    <t>Karlsruhe Institute of Technology</t>
  </si>
  <si>
    <t>LMU Munich</t>
  </si>
  <si>
    <t>RWTH Aachen University</t>
  </si>
  <si>
    <t>Technical University of Darmstadt</t>
  </si>
  <si>
    <t>Technical University of Munich</t>
  </si>
  <si>
    <t>Ulm University</t>
  </si>
  <si>
    <t>University of Bonn</t>
  </si>
  <si>
    <t>University of Freiburg</t>
  </si>
  <si>
    <t>University of Heidelberg</t>
  </si>
  <si>
    <t>University of Hohenheim</t>
  </si>
  <si>
    <t>University of Konstanz</t>
  </si>
  <si>
    <t>University of Mannheim</t>
  </si>
  <si>
    <t>University of Stuttgart</t>
  </si>
  <si>
    <t>University of Tübingen</t>
  </si>
  <si>
    <t>Hungary</t>
  </si>
  <si>
    <t>Budapest University of Technology and Economics</t>
  </si>
  <si>
    <t>Corvinus University of Budapest</t>
  </si>
  <si>
    <t>Iceland</t>
  </si>
  <si>
    <t>University of Iceland</t>
  </si>
  <si>
    <t>Ireland</t>
  </si>
  <si>
    <t>Trinity College Dublin</t>
  </si>
  <si>
    <t>University College Cork</t>
  </si>
  <si>
    <t>University College Dublin</t>
  </si>
  <si>
    <t>Italy</t>
  </si>
  <si>
    <t>Bocconi University</t>
  </si>
  <si>
    <t>Catholic University of the Sacred Heart</t>
  </si>
  <si>
    <t>Polytechnic University of Milan (Politecnico di Milano)</t>
  </si>
  <si>
    <t>Polytechnic University of Turin (Politecnico di Torino)</t>
  </si>
  <si>
    <t>CFU (30 ECTS)</t>
  </si>
  <si>
    <t>University of Bologna</t>
  </si>
  <si>
    <t>University of Commerce 'Luigi Bocconi' Milan</t>
  </si>
  <si>
    <t>Lithuania</t>
  </si>
  <si>
    <t>Vilnius University</t>
  </si>
  <si>
    <t>Netherlands</t>
  </si>
  <si>
    <t>Erasmus School of History, Culture and Communication</t>
  </si>
  <si>
    <t>Erasmus School of Social and Behavioural Sciences</t>
  </si>
  <si>
    <t>Leiden University</t>
  </si>
  <si>
    <t>Leiden University (Faculty of Science)</t>
  </si>
  <si>
    <t>Leiden University Medical Centre</t>
  </si>
  <si>
    <t>Maastricht University</t>
  </si>
  <si>
    <t>Radbound University Nijmegen</t>
  </si>
  <si>
    <t>Rotterdam School of Management, Erasmus University</t>
  </si>
  <si>
    <t>EC</t>
  </si>
  <si>
    <t>Tilburg University</t>
  </si>
  <si>
    <t>Delft University of Technology</t>
  </si>
  <si>
    <t>Eindhoven University of Technology</t>
  </si>
  <si>
    <t>University of Amsterdam</t>
  </si>
  <si>
    <t>Utrecht University</t>
  </si>
  <si>
    <t>Norway</t>
  </si>
  <si>
    <t>BI Norwegian Business School</t>
  </si>
  <si>
    <t>Norwegian School of Economics</t>
  </si>
  <si>
    <t>Norwegian University of Science and Technology</t>
  </si>
  <si>
    <t>University of Oslo</t>
  </si>
  <si>
    <t>Poland</t>
  </si>
  <si>
    <t>Warsaw School of Economics</t>
  </si>
  <si>
    <t>Cracow University of Technology</t>
  </si>
  <si>
    <t>Jagiellonian University</t>
  </si>
  <si>
    <t>Warsaw University of Technology</t>
  </si>
  <si>
    <t>Portugal</t>
  </si>
  <si>
    <t>Catholic University of Portugal, Católica Lisbon School of Business and Economics</t>
  </si>
  <si>
    <t>Nova School of Business and Economics</t>
  </si>
  <si>
    <t>Slovenia</t>
  </si>
  <si>
    <t>University of Ljubljana</t>
  </si>
  <si>
    <t>Spain</t>
  </si>
  <si>
    <t xml:space="preserve">Autonomous University of Barcelona </t>
  </si>
  <si>
    <t>Autonomous University of Madrid</t>
  </si>
  <si>
    <t>ESADE Business School</t>
  </si>
  <si>
    <t>IE Business School</t>
  </si>
  <si>
    <t>UIC Catalunya</t>
  </si>
  <si>
    <t>University of Navarra</t>
  </si>
  <si>
    <t>Sweden</t>
  </si>
  <si>
    <t>Blekinge Institute of Technology</t>
  </si>
  <si>
    <t>Karolinska Institute</t>
  </si>
  <si>
    <t>Linkoping University</t>
  </si>
  <si>
    <t>Lund University</t>
  </si>
  <si>
    <t>Stockholm School of Economics</t>
  </si>
  <si>
    <t>Chalmers University of Technology</t>
  </si>
  <si>
    <t>KTH Royal Institute of Technology</t>
  </si>
  <si>
    <t>Stockholm University</t>
  </si>
  <si>
    <t>University of Gothenburg</t>
  </si>
  <si>
    <t>Uppsala University</t>
  </si>
  <si>
    <t>Switzerland</t>
  </si>
  <si>
    <t>ECAL – University of Art and Design Lausanne</t>
  </si>
  <si>
    <t>University of Geneva</t>
  </si>
  <si>
    <t>University of Lausanne</t>
  </si>
  <si>
    <t>University of St Gallen</t>
  </si>
  <si>
    <t>EPFL – Swiss Federal Institute of Technology Lausanne</t>
  </si>
  <si>
    <t>ETH Zurich – Swiss Federal Institute of Technology Zurich</t>
  </si>
  <si>
    <t>University of Zurich</t>
  </si>
  <si>
    <t>Turkiye</t>
  </si>
  <si>
    <t>Bilkent University</t>
  </si>
  <si>
    <t>Sabanci University</t>
  </si>
  <si>
    <t>credits (30 ECS)</t>
  </si>
  <si>
    <t>United Kingdom</t>
  </si>
  <si>
    <t>City University of London</t>
  </si>
  <si>
    <t>Standardise UK to 60 CATS credits</t>
  </si>
  <si>
    <t>Durham University</t>
  </si>
  <si>
    <t>Imperial College London</t>
  </si>
  <si>
    <t>King's College London</t>
  </si>
  <si>
    <t>London School of Economics</t>
  </si>
  <si>
    <t>GRO Info - verified by PVO</t>
  </si>
  <si>
    <t>Loughborough University</t>
  </si>
  <si>
    <t>University College London</t>
  </si>
  <si>
    <t>University of Aberdeen</t>
  </si>
  <si>
    <t>University of Bath</t>
  </si>
  <si>
    <t>University of Birmingham</t>
  </si>
  <si>
    <t>University of Bristol</t>
  </si>
  <si>
    <t>University of Dundee</t>
  </si>
  <si>
    <t>SCOTCAT credits</t>
  </si>
  <si>
    <t>University of Edinburgh</t>
  </si>
  <si>
    <t>University of Glasgow</t>
  </si>
  <si>
    <t>University of Leeds</t>
  </si>
  <si>
    <t>University of Liverpool</t>
  </si>
  <si>
    <t>University of Manchester</t>
  </si>
  <si>
    <t>University of Newcastle upon Tyne</t>
  </si>
  <si>
    <t>University of Nottingham</t>
  </si>
  <si>
    <t>University of Sheffield</t>
  </si>
  <si>
    <t>University of Southamptom</t>
  </si>
  <si>
    <t>University of St Andrews</t>
  </si>
  <si>
    <t>University of Strathclyde</t>
  </si>
  <si>
    <t>University of Warwick</t>
  </si>
  <si>
    <t>University of York</t>
  </si>
  <si>
    <t>Middle East &amp; Africa</t>
  </si>
  <si>
    <t>South Africa</t>
  </si>
  <si>
    <t>Stellenbosch University</t>
  </si>
  <si>
    <t>ECTS (60 credits)</t>
  </si>
  <si>
    <t>Vassar College</t>
  </si>
  <si>
    <t>Zhejiang University</t>
  </si>
  <si>
    <t>Singapore</t>
  </si>
  <si>
    <t>Nanyang Technological University</t>
  </si>
  <si>
    <t>Singapore Institute of Technology</t>
  </si>
  <si>
    <t>Singapore Management University</t>
  </si>
  <si>
    <t>Singapore University of Social Sciences</t>
  </si>
  <si>
    <t>Singapore University of Technology and Design</t>
  </si>
  <si>
    <t>CU</t>
  </si>
  <si>
    <t>updated as of 12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</si>
</sst>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0"/>
      <color rgb="FF000000"/>
      <name val="Arial"/>
      <family val="2"/>
    </font>
    <font>
      <sz val="10"/>
      <color rgb="FF000000"/>
      <name val="Arial"/>
      <family val="2"/>
    </font>
    <font>
      <sz val="10"/>
      <color theme="1"/>
      <name val="Arial"/>
      <family val="2"/>
    </font>
    <font>
      <sz val="11"/>
      <color rgb="FFFF0000"/>
      <name val="Aptos Narrow"/>
      <family val="2"/>
      <scheme val="minor"/>
    </font>
    <font>
      <b/>
      <sz val="12"/>
      <color rgb="FF333333"/>
      <name val="Segoe UI"/>
      <family val="2"/>
    </font>
    <font>
      <sz val="11"/>
      <color theme="8" tint="0.39997558519241921"/>
      <name val="Aptos Narrow"/>
      <family val="2"/>
      <scheme val="minor"/>
    </font>
    <font>
      <sz val="10"/>
      <name val="Arial"/>
      <family val="2"/>
    </font>
    <font>
      <sz val="11"/>
      <name val="Aptos Narrow"/>
      <family val="2"/>
      <scheme val="minor"/>
    </font>
    <font>
      <sz val="8"/>
      <name val="Aptos Narrow"/>
      <family val="2"/>
      <scheme val="minor"/>
    </font>
    <font>
      <b/>
      <sz val="10"/>
      <name val="Arial"/>
      <family val="2"/>
    </font>
    <font>
      <b/>
      <sz val="20"/>
      <color rgb="FF003D7C"/>
      <name val="Arial"/>
      <family val="2"/>
    </font>
    <font>
      <u/>
      <sz val="11"/>
      <color theme="10"/>
      <name val="Aptos Narrow"/>
      <family val="2"/>
      <scheme val="minor"/>
    </font>
    <font>
      <sz val="12"/>
      <color rgb="FF333333"/>
      <name val="Arial"/>
      <family val="2"/>
    </font>
    <font>
      <sz val="11"/>
      <color theme="1"/>
      <name val="Arial"/>
      <family val="2"/>
    </font>
    <font>
      <u/>
      <sz val="11"/>
      <color theme="10"/>
      <name val="Arial"/>
      <family val="2"/>
    </font>
    <font>
      <sz val="11"/>
      <color rgb="FF333333"/>
      <name val="Arial"/>
      <family val="2"/>
    </font>
    <font>
      <b/>
      <sz val="11"/>
      <color theme="1"/>
      <name val="Arial"/>
      <family val="2"/>
    </font>
    <font>
      <sz val="13"/>
      <color theme="1"/>
      <name val="Arial"/>
      <family val="2"/>
    </font>
    <font>
      <sz val="13"/>
      <color rgb="FF333333"/>
      <name val="Arial"/>
      <family val="2"/>
    </font>
    <font>
      <sz val="11"/>
      <color rgb="FFFF0000"/>
      <name val="Arial"/>
      <family val="2"/>
    </font>
    <font>
      <b/>
      <sz val="12"/>
      <color theme="1"/>
      <name val="Arial"/>
      <family val="2"/>
    </font>
    <font>
      <b/>
      <sz val="16"/>
      <color rgb="FF003D7C"/>
      <name val="Arial"/>
      <family val="2"/>
    </font>
    <font>
      <sz val="11"/>
      <name val="Arial"/>
      <family val="2"/>
    </font>
    <font>
      <b/>
      <sz val="11"/>
      <color theme="1"/>
      <name val="Aptos Narrow"/>
      <family val="2"/>
      <scheme val="minor"/>
    </font>
    <font>
      <b/>
      <sz val="11"/>
      <color rgb="FF0000FF"/>
      <name val="Arial"/>
      <family val="2"/>
    </font>
  </fonts>
  <fills count="7">
    <fill>
      <patternFill patternType="none"/>
    </fill>
    <fill>
      <patternFill patternType="gray125"/>
    </fill>
    <fill>
      <patternFill patternType="solid">
        <fgColor rgb="FFDAE9F7"/>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95">
    <xf numFmtId="0" fontId="0" fillId="0" borderId="0" xfId="0"/>
    <xf numFmtId="0" fontId="0" fillId="0" borderId="0" xfId="0" applyAlignment="1">
      <alignment horizontal="center"/>
    </xf>
    <xf numFmtId="0" fontId="1" fillId="2" borderId="4"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0" fillId="4" borderId="1" xfId="0" applyFill="1" applyBorder="1" applyAlignment="1" applyProtection="1">
      <alignment horizontal="center" vertical="center"/>
      <protection locked="0"/>
    </xf>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vertical="top" wrapText="1"/>
    </xf>
    <xf numFmtId="0" fontId="0" fillId="0" borderId="1" xfId="0" applyBorder="1" applyAlignment="1">
      <alignment horizontal="center" vertical="top"/>
    </xf>
    <xf numFmtId="0" fontId="6" fillId="0" borderId="0" xfId="0" applyFont="1"/>
    <xf numFmtId="0" fontId="7" fillId="0" borderId="1" xfId="0" applyFont="1" applyBorder="1" applyAlignment="1">
      <alignment horizontal="left" vertical="center" wrapText="1"/>
    </xf>
    <xf numFmtId="0" fontId="0" fillId="0" borderId="0" xfId="0" applyAlignment="1">
      <alignment vertical="center"/>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7" fillId="0" borderId="0" xfId="0" applyFont="1" applyAlignment="1">
      <alignment horizontal="left" vertical="center" wrapText="1"/>
    </xf>
    <xf numFmtId="0" fontId="10" fillId="3" borderId="4" xfId="0" applyFont="1" applyFill="1" applyBorder="1" applyAlignment="1">
      <alignment horizontal="left" vertical="center" wrapText="1"/>
    </xf>
    <xf numFmtId="0" fontId="0" fillId="0" borderId="1" xfId="0" applyBorder="1" applyAlignment="1">
      <alignment horizontal="center" vertical="center"/>
    </xf>
    <xf numFmtId="0" fontId="2" fillId="0" borderId="3" xfId="0" applyFont="1" applyBorder="1" applyAlignment="1">
      <alignment horizontal="left" vertical="center" wrapText="1"/>
    </xf>
    <xf numFmtId="0" fontId="3" fillId="0" borderId="2" xfId="0" applyFont="1" applyBorder="1" applyAlignment="1">
      <alignment horizontal="left" vertical="center" wrapText="1"/>
    </xf>
    <xf numFmtId="0" fontId="2"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3" xfId="0" applyFont="1" applyBorder="1" applyAlignment="1">
      <alignment horizontal="left" vertical="center" wrapText="1"/>
    </xf>
    <xf numFmtId="0" fontId="8" fillId="0" borderId="0" xfId="0" applyFont="1"/>
    <xf numFmtId="0" fontId="2" fillId="0" borderId="3" xfId="0" applyFont="1" applyBorder="1" applyAlignment="1">
      <alignment vertical="center" wrapText="1"/>
    </xf>
    <xf numFmtId="0" fontId="0" fillId="0" borderId="1" xfId="0" applyBorder="1" applyAlignment="1">
      <alignment vertical="top"/>
    </xf>
    <xf numFmtId="0" fontId="2"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0" fillId="0" borderId="1" xfId="0" applyBorder="1" applyAlignment="1">
      <alignment horizontal="center" vertical="center" wrapText="1"/>
    </xf>
    <xf numFmtId="0" fontId="0" fillId="0" borderId="6" xfId="0" applyBorder="1" applyAlignment="1">
      <alignment horizontal="center" vertical="top"/>
    </xf>
    <xf numFmtId="0" fontId="0" fillId="0" borderId="3" xfId="0" applyBorder="1" applyAlignment="1">
      <alignment vertical="top"/>
    </xf>
    <xf numFmtId="0" fontId="0" fillId="0" borderId="3" xfId="0" applyBorder="1" applyAlignment="1">
      <alignment horizontal="center" vertical="top"/>
    </xf>
    <xf numFmtId="0" fontId="0" fillId="0" borderId="6" xfId="0" applyBorder="1" applyAlignment="1">
      <alignment horizontal="center" vertical="center"/>
    </xf>
    <xf numFmtId="0" fontId="8" fillId="0" borderId="1" xfId="0" applyFont="1" applyBorder="1" applyAlignment="1">
      <alignment horizontal="left"/>
    </xf>
    <xf numFmtId="0" fontId="2" fillId="0" borderId="0" xfId="0" applyFont="1" applyAlignment="1">
      <alignment horizontal="left" vertical="top" wrapText="1"/>
    </xf>
    <xf numFmtId="0" fontId="0" fillId="0" borderId="0" xfId="0" applyAlignment="1">
      <alignment vertical="top"/>
    </xf>
    <xf numFmtId="0" fontId="0" fillId="4" borderId="1" xfId="0" applyFill="1" applyBorder="1" applyAlignment="1" applyProtection="1">
      <alignment horizontal="center"/>
      <protection locked="0"/>
    </xf>
    <xf numFmtId="0" fontId="15" fillId="0" borderId="0" xfId="1" applyFont="1" applyFill="1" applyBorder="1" applyAlignment="1" applyProtection="1">
      <alignment horizontal="left" vertical="center" wrapText="1"/>
    </xf>
    <xf numFmtId="0" fontId="15" fillId="0" borderId="0" xfId="1" applyFont="1" applyAlignment="1" applyProtection="1">
      <alignment vertical="center"/>
    </xf>
    <xf numFmtId="0" fontId="14" fillId="4" borderId="1" xfId="0" applyFont="1" applyFill="1" applyBorder="1" applyAlignment="1" applyProtection="1">
      <alignment horizontal="center" vertical="center"/>
      <protection locked="0"/>
    </xf>
    <xf numFmtId="0" fontId="15" fillId="0" borderId="0" xfId="1" applyFont="1" applyFill="1" applyBorder="1" applyAlignment="1" applyProtection="1">
      <alignment horizontal="left" vertical="center" wrapText="1"/>
      <protection locked="0"/>
    </xf>
    <xf numFmtId="0" fontId="15" fillId="0" borderId="0" xfId="1" applyFont="1" applyAlignment="1" applyProtection="1">
      <alignment vertical="center"/>
      <protection locked="0"/>
    </xf>
    <xf numFmtId="0" fontId="3" fillId="0" borderId="1" xfId="0" applyFont="1" applyBorder="1" applyAlignment="1">
      <alignment horizontal="center" vertical="center" wrapText="1"/>
    </xf>
    <xf numFmtId="0" fontId="3" fillId="0" borderId="3"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0" fillId="0" borderId="0" xfId="0" applyAlignment="1" applyProtection="1">
      <alignment horizontal="center"/>
    </xf>
    <xf numFmtId="0" fontId="0" fillId="0" borderId="0" xfId="0" applyProtection="1"/>
    <xf numFmtId="0" fontId="5" fillId="0" borderId="0" xfId="0" applyFont="1" applyAlignment="1" applyProtection="1">
      <alignment horizontal="left" vertical="top" wrapText="1"/>
    </xf>
    <xf numFmtId="0" fontId="11" fillId="0" borderId="0" xfId="0" applyFont="1" applyAlignment="1" applyProtection="1">
      <alignment vertical="top"/>
    </xf>
    <xf numFmtId="0" fontId="13" fillId="0" borderId="0" xfId="0" applyFont="1" applyAlignment="1" applyProtection="1">
      <alignment horizontal="left" vertical="top" wrapText="1"/>
    </xf>
    <xf numFmtId="0" fontId="14" fillId="0" borderId="0" xfId="0" applyFont="1" applyProtection="1"/>
    <xf numFmtId="0" fontId="14" fillId="0" borderId="0" xfId="0" applyFont="1" applyAlignment="1" applyProtection="1">
      <alignment vertical="center"/>
    </xf>
    <xf numFmtId="0" fontId="19" fillId="0" borderId="0" xfId="0" applyFont="1" applyAlignment="1" applyProtection="1">
      <alignment horizontal="left" vertical="center" wrapText="1"/>
    </xf>
    <xf numFmtId="0" fontId="18" fillId="0" borderId="0" xfId="0" applyFont="1" applyAlignment="1" applyProtection="1">
      <alignment vertical="center"/>
    </xf>
    <xf numFmtId="0" fontId="0" fillId="0" borderId="0" xfId="0" applyAlignment="1" applyProtection="1">
      <alignment vertical="center"/>
    </xf>
    <xf numFmtId="0" fontId="20" fillId="0" borderId="0" xfId="0" applyFont="1" applyAlignment="1" applyProtection="1">
      <alignment horizontal="left" vertical="top" wrapText="1"/>
    </xf>
    <xf numFmtId="0" fontId="16" fillId="0" borderId="0" xfId="0" applyFont="1" applyAlignment="1" applyProtection="1">
      <alignment horizontal="left" vertical="center" wrapText="1"/>
    </xf>
    <xf numFmtId="0" fontId="16" fillId="0" borderId="0" xfId="0" applyFont="1" applyAlignment="1" applyProtection="1">
      <alignment horizontal="left" vertical="center"/>
    </xf>
    <xf numFmtId="0" fontId="16" fillId="0" borderId="0" xfId="0" applyFont="1" applyAlignment="1" applyProtection="1">
      <alignment vertical="center"/>
    </xf>
    <xf numFmtId="0" fontId="21" fillId="0" borderId="0" xfId="0" applyFont="1" applyAlignment="1" applyProtection="1">
      <alignment horizontal="left" vertical="center" wrapText="1"/>
    </xf>
    <xf numFmtId="0" fontId="23" fillId="0" borderId="0" xfId="0" applyFont="1" applyProtection="1"/>
    <xf numFmtId="0" fontId="21" fillId="0" borderId="0" xfId="0" applyFont="1" applyAlignment="1" applyProtection="1">
      <alignment horizontal="left" vertical="center" wrapText="1"/>
    </xf>
    <xf numFmtId="0" fontId="17" fillId="0" borderId="0" xfId="0" applyFont="1" applyAlignment="1" applyProtection="1">
      <alignment horizontal="left" vertical="center" wrapText="1"/>
    </xf>
    <xf numFmtId="0" fontId="4" fillId="0" borderId="0" xfId="0" applyFont="1" applyAlignment="1" applyProtection="1">
      <alignment horizontal="left"/>
    </xf>
    <xf numFmtId="0" fontId="21" fillId="0" borderId="0" xfId="0" applyFont="1" applyProtection="1"/>
    <xf numFmtId="0" fontId="1" fillId="2" borderId="2" xfId="0" applyFont="1" applyFill="1" applyBorder="1" applyAlignment="1" applyProtection="1">
      <alignment horizontal="center" vertical="center" wrapText="1"/>
    </xf>
    <xf numFmtId="0" fontId="1" fillId="0" borderId="0" xfId="0" applyFont="1" applyAlignment="1" applyProtection="1">
      <alignment horizontal="center" vertical="center" wrapText="1"/>
    </xf>
    <xf numFmtId="0" fontId="14" fillId="0" borderId="0" xfId="0" applyFont="1" applyAlignment="1" applyProtection="1">
      <alignment horizontal="center" vertical="center"/>
    </xf>
    <xf numFmtId="0" fontId="0" fillId="0" borderId="0" xfId="0" applyAlignment="1" applyProtection="1">
      <alignment horizontal="center" vertical="center"/>
    </xf>
    <xf numFmtId="0" fontId="4" fillId="0" borderId="0" xfId="0" applyFont="1" applyProtection="1"/>
    <xf numFmtId="0" fontId="1" fillId="2" borderId="1" xfId="0" applyFont="1" applyFill="1" applyBorder="1" applyAlignment="1" applyProtection="1">
      <alignment horizontal="center" vertical="center" wrapText="1"/>
    </xf>
    <xf numFmtId="0" fontId="17" fillId="6" borderId="0" xfId="0" applyFont="1" applyFill="1" applyAlignment="1" applyProtection="1">
      <alignment horizontal="left" vertical="center" wrapText="1"/>
    </xf>
    <xf numFmtId="0" fontId="14" fillId="5" borderId="1" xfId="0" applyFont="1" applyFill="1" applyBorder="1" applyAlignment="1" applyProtection="1">
      <alignment horizontal="center" vertical="center"/>
    </xf>
    <xf numFmtId="0" fontId="0" fillId="5" borderId="1" xfId="0" applyFill="1" applyBorder="1" applyAlignment="1" applyProtection="1">
      <alignment horizontal="center" vertical="center"/>
    </xf>
    <xf numFmtId="0" fontId="14" fillId="6" borderId="0" xfId="0" applyFont="1" applyFill="1" applyAlignment="1" applyProtection="1">
      <alignment horizontal="left" vertical="center"/>
    </xf>
    <xf numFmtId="0" fontId="21" fillId="6" borderId="0" xfId="0" applyFont="1" applyFill="1" applyAlignment="1" applyProtection="1">
      <alignment vertical="center"/>
    </xf>
    <xf numFmtId="0" fontId="0" fillId="6" borderId="0" xfId="0" applyFill="1" applyAlignment="1" applyProtection="1">
      <alignment vertical="center"/>
    </xf>
    <xf numFmtId="0" fontId="1" fillId="6" borderId="1" xfId="0" applyFont="1" applyFill="1" applyBorder="1" applyAlignment="1" applyProtection="1">
      <alignment horizontal="center" vertical="center" wrapText="1"/>
    </xf>
    <xf numFmtId="0" fontId="1" fillId="6" borderId="1" xfId="0" applyFont="1" applyFill="1" applyBorder="1" applyAlignment="1" applyProtection="1">
      <alignment horizontal="center" vertical="center"/>
    </xf>
    <xf numFmtId="0" fontId="14" fillId="6" borderId="1" xfId="0" applyFont="1" applyFill="1" applyBorder="1" applyAlignment="1" applyProtection="1">
      <alignment horizontal="left" vertical="center"/>
    </xf>
    <xf numFmtId="0" fontId="14" fillId="6" borderId="1" xfId="0" applyFont="1" applyFill="1" applyBorder="1" applyAlignment="1" applyProtection="1">
      <alignment horizontal="center" vertical="center"/>
    </xf>
    <xf numFmtId="0" fontId="17" fillId="5" borderId="1" xfId="0" applyFont="1" applyFill="1" applyBorder="1" applyAlignment="1" applyProtection="1">
      <alignment horizontal="left" vertical="center"/>
    </xf>
    <xf numFmtId="0" fontId="17" fillId="5" borderId="1" xfId="0" applyFont="1" applyFill="1" applyBorder="1" applyAlignment="1" applyProtection="1">
      <alignment horizontal="center" vertical="center"/>
    </xf>
    <xf numFmtId="0" fontId="24" fillId="5" borderId="1" xfId="0" applyFont="1" applyFill="1" applyBorder="1" applyAlignment="1" applyProtection="1">
      <alignment horizontal="center" vertical="center"/>
    </xf>
    <xf numFmtId="0" fontId="14" fillId="0" borderId="0" xfId="0" applyFont="1" applyAlignment="1" applyProtection="1">
      <alignment horizontal="left" vertical="center"/>
    </xf>
    <xf numFmtId="0" fontId="17" fillId="6" borderId="1" xfId="0" applyFont="1" applyFill="1" applyBorder="1" applyAlignment="1" applyProtection="1">
      <alignment vertical="center" wrapText="1"/>
    </xf>
    <xf numFmtId="0" fontId="17" fillId="6" borderId="1" xfId="0" applyFont="1" applyFill="1" applyBorder="1" applyAlignment="1" applyProtection="1">
      <alignment horizontal="center" vertical="center"/>
    </xf>
    <xf numFmtId="0" fontId="17" fillId="0" borderId="0" xfId="0" applyFont="1" applyAlignment="1" applyProtection="1">
      <alignment vertical="center" wrapText="1"/>
    </xf>
    <xf numFmtId="0" fontId="17" fillId="0" borderId="0" xfId="0" applyFont="1" applyAlignment="1" applyProtection="1">
      <alignment horizontal="center" vertical="center"/>
    </xf>
  </cellXfs>
  <cellStyles count="2">
    <cellStyle name="Hyperlink" xfId="1" builtinId="8"/>
    <cellStyle name="Normal" xfId="0" builtinId="0"/>
  </cellStyles>
  <dxfs count="13">
    <dxf>
      <font>
        <color rgb="FF9C0006"/>
      </font>
      <fill>
        <patternFill>
          <bgColor rgb="FFFFC7CE"/>
        </patternFill>
      </fill>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4C94D8"/>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4C94D8"/>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family val="2"/>
        <scheme val="none"/>
      </font>
      <fill>
        <patternFill patternType="solid">
          <fgColor indexed="64"/>
          <bgColor rgb="FFDAE9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05D97-58EA-4328-9776-73CAD829842A}" name="Table1" displayName="Table1" ref="A1:H367" totalsRowShown="0" headerRowDxfId="12" dataDxfId="10" headerRowBorderDxfId="11" tableBorderDxfId="9">
  <autoFilter ref="A1:H367" xr:uid="{F3E05D97-58EA-4328-9776-73CAD829842A}"/>
  <tableColumns count="8">
    <tableColumn id="1" xr3:uid="{0701527F-8CED-4E9B-B22A-D56974B52DAF}" name="Region" dataDxfId="8"/>
    <tableColumn id="2" xr3:uid="{88807605-DB20-4959-B0DC-B58A1049B698}" name="U-wide/ Faculty" dataDxfId="7"/>
    <tableColumn id="3" xr3:uid="{039890D1-4016-4D63-9508-18B9B2D47FE5}" name="Country" dataDxfId="6"/>
    <tableColumn id="4" xr3:uid="{ECE9CC4B-F876-4615-B141-7D45D99C15CD}" name="University Name" dataDxfId="5"/>
    <tableColumn id="5" xr3:uid="{BBF21187-58E3-48BE-B98E-0410B1888867}" name="Regular semester workload for full-time undergraduate students" dataDxfId="4"/>
    <tableColumn id="6" xr3:uid="{F6629D2E-48B4-4563-B33A-F07977738A14}" name="Units" dataDxfId="3"/>
    <tableColumn id="7" xr3:uid="{910DB674-15E1-4B24-926D-0CE50209F211}" name="Conversion" dataDxfId="2"/>
    <tableColumn id="9" xr3:uid="{A48F2539-AE36-44C0-8AC6-422BF4BA5116}" name="Remark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us.edu.sg/gro/global-programmes/student-exchange/partner-universities" TargetMode="External"/><Relationship Id="rId2" Type="http://schemas.openxmlformats.org/officeDocument/2006/relationships/hyperlink" Target="https://www.nus.edu.sg/gro/docs/default-source/prog/sep/sep-administrators-contact-list.pdf" TargetMode="External"/><Relationship Id="rId1" Type="http://schemas.openxmlformats.org/officeDocument/2006/relationships/hyperlink" Target="https://myportal.nus.edu.sg/studentportal/academics/all/docs/SEP-Credit-Transfer-Calculator-FAQ.pdf" TargetMode="External"/><Relationship Id="rId5" Type="http://schemas.openxmlformats.org/officeDocument/2006/relationships/printerSettings" Target="../printerSettings/printerSettings1.bin"/><Relationship Id="rId4" Type="http://schemas.openxmlformats.org/officeDocument/2006/relationships/hyperlink" Target="https://myportal.nus.edu.sg/studentportal/academics/all/docs/SEP-Credit-Transfer-Calculator-FAQ.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3221-5FC2-4EF2-ABEC-299810297651}">
  <dimension ref="A1:G45"/>
  <sheetViews>
    <sheetView showGridLines="0" tabSelected="1" zoomScale="70" zoomScaleNormal="70" workbookViewId="0">
      <selection activeCell="B17" sqref="B17"/>
    </sheetView>
  </sheetViews>
  <sheetFormatPr defaultRowHeight="14.5" x14ac:dyDescent="0.35"/>
  <cols>
    <col min="1" max="1" width="21.81640625" style="52" customWidth="1"/>
    <col min="2" max="2" width="33.1796875" style="52" customWidth="1"/>
    <col min="3" max="3" width="70.1796875" style="52" customWidth="1"/>
    <col min="4" max="4" width="7.26953125" style="52" customWidth="1"/>
    <col min="5" max="5" width="19.1796875" style="52" customWidth="1"/>
    <col min="6" max="6" width="34.1796875" style="52" customWidth="1"/>
    <col min="7" max="7" width="33.453125" style="52" customWidth="1"/>
    <col min="8" max="16384" width="8.7265625" style="52"/>
  </cols>
  <sheetData>
    <row r="1" spans="1:6" ht="18" customHeight="1" x14ac:dyDescent="0.35">
      <c r="A1" s="51" t="e" vm="1">
        <v>#VALUE!</v>
      </c>
      <c r="C1" s="53"/>
      <c r="F1" s="52" t="s">
        <v>458</v>
      </c>
    </row>
    <row r="2" spans="1:6" ht="25" customHeight="1" x14ac:dyDescent="0.35">
      <c r="A2" s="51"/>
      <c r="B2" s="54" t="s">
        <v>0</v>
      </c>
      <c r="C2" s="55"/>
      <c r="D2" s="56"/>
      <c r="E2" s="56"/>
      <c r="F2" s="56"/>
    </row>
    <row r="3" spans="1:6" s="60" customFormat="1" ht="18" customHeight="1" x14ac:dyDescent="0.35">
      <c r="A3" s="51"/>
      <c r="B3" s="57" t="s">
        <v>1</v>
      </c>
      <c r="C3" s="58"/>
      <c r="D3" s="59"/>
      <c r="E3" s="59"/>
      <c r="F3" s="59"/>
    </row>
    <row r="4" spans="1:6" s="60" customFormat="1" ht="18" customHeight="1" x14ac:dyDescent="0.35">
      <c r="A4" s="51"/>
      <c r="B4" s="61" t="s">
        <v>2</v>
      </c>
      <c r="C4" s="61"/>
      <c r="D4" s="61"/>
      <c r="E4" s="61"/>
      <c r="F4" s="61"/>
    </row>
    <row r="5" spans="1:6" ht="24.65" customHeight="1" x14ac:dyDescent="0.35">
      <c r="B5" s="61"/>
      <c r="C5" s="61"/>
      <c r="D5" s="61"/>
      <c r="E5" s="61"/>
      <c r="F5" s="61"/>
    </row>
    <row r="6" spans="1:6" ht="18" customHeight="1" x14ac:dyDescent="0.35">
      <c r="B6" s="57" t="s">
        <v>3</v>
      </c>
      <c r="C6" s="62"/>
      <c r="D6" s="57"/>
      <c r="E6" s="57"/>
      <c r="F6" s="57"/>
    </row>
    <row r="7" spans="1:6" ht="18" customHeight="1" x14ac:dyDescent="0.35">
      <c r="B7" s="56" t="s">
        <v>4</v>
      </c>
      <c r="C7" s="62"/>
      <c r="D7" s="57"/>
      <c r="E7" s="57"/>
      <c r="F7" s="57"/>
    </row>
    <row r="8" spans="1:6" ht="18" customHeight="1" x14ac:dyDescent="0.35">
      <c r="B8" s="63" t="s">
        <v>5</v>
      </c>
      <c r="C8" s="63"/>
      <c r="D8" s="57"/>
      <c r="E8" s="57"/>
      <c r="F8" s="57"/>
    </row>
    <row r="9" spans="1:6" ht="18" customHeight="1" x14ac:dyDescent="0.35">
      <c r="B9" s="63" t="s">
        <v>6</v>
      </c>
      <c r="C9" s="63"/>
      <c r="D9" s="57"/>
      <c r="E9" s="57"/>
      <c r="F9" s="57"/>
    </row>
    <row r="10" spans="1:6" ht="18" customHeight="1" x14ac:dyDescent="0.35">
      <c r="B10" s="64" t="s">
        <v>7</v>
      </c>
      <c r="C10" s="64"/>
      <c r="D10" s="64"/>
      <c r="E10" s="64"/>
      <c r="F10" s="57"/>
    </row>
    <row r="11" spans="1:6" ht="18" customHeight="1" x14ac:dyDescent="0.35">
      <c r="B11" s="64" t="s">
        <v>8</v>
      </c>
      <c r="C11" s="64"/>
      <c r="D11" s="64"/>
      <c r="E11" s="64"/>
      <c r="F11" s="57"/>
    </row>
    <row r="12" spans="1:6" ht="18" customHeight="1" x14ac:dyDescent="0.35">
      <c r="B12" s="64" t="s">
        <v>9</v>
      </c>
      <c r="C12" s="64"/>
      <c r="D12" s="64"/>
      <c r="E12" s="64"/>
      <c r="F12" s="57"/>
    </row>
    <row r="13" spans="1:6" ht="18" customHeight="1" x14ac:dyDescent="0.35">
      <c r="B13" s="65" t="s">
        <v>10</v>
      </c>
      <c r="C13" s="65"/>
      <c r="D13" s="65"/>
      <c r="E13" s="65"/>
      <c r="F13" s="65"/>
    </row>
    <row r="14" spans="1:6" ht="18" customHeight="1" x14ac:dyDescent="0.35">
      <c r="B14" s="66" t="s">
        <v>11</v>
      </c>
      <c r="C14" s="66"/>
      <c r="D14" s="66"/>
      <c r="E14" s="67"/>
      <c r="F14" s="67"/>
    </row>
    <row r="15" spans="1:6" ht="18" customHeight="1" x14ac:dyDescent="0.35">
      <c r="B15" s="44" t="s">
        <v>12</v>
      </c>
      <c r="C15" s="41"/>
      <c r="D15" s="41"/>
      <c r="E15" s="67"/>
      <c r="F15" s="67"/>
    </row>
    <row r="16" spans="1:6" ht="18" customHeight="1" x14ac:dyDescent="0.35">
      <c r="B16" s="44" t="s">
        <v>13</v>
      </c>
      <c r="C16" s="41"/>
      <c r="D16" s="41"/>
      <c r="E16" s="67"/>
      <c r="F16" s="67"/>
    </row>
    <row r="17" spans="1:7" ht="18" customHeight="1" x14ac:dyDescent="0.35">
      <c r="B17" s="45" t="s">
        <v>14</v>
      </c>
      <c r="C17" s="42"/>
      <c r="D17" s="42"/>
      <c r="E17" s="68"/>
      <c r="F17" s="68"/>
    </row>
    <row r="18" spans="1:7" ht="18" customHeight="1" x14ac:dyDescent="0.35">
      <c r="B18" s="69"/>
      <c r="E18" s="70"/>
    </row>
    <row r="19" spans="1:7" ht="25.5" customHeight="1" x14ac:dyDescent="0.35">
      <c r="A19" s="71" t="s">
        <v>15</v>
      </c>
      <c r="B19" s="71" t="s">
        <v>16</v>
      </c>
      <c r="C19" s="40"/>
      <c r="E19" s="72"/>
      <c r="F19" s="72"/>
      <c r="G19" s="72"/>
    </row>
    <row r="20" spans="1:7" ht="18" customHeight="1" x14ac:dyDescent="0.35">
      <c r="A20" s="71" t="s">
        <v>17</v>
      </c>
      <c r="B20" s="71" t="s">
        <v>18</v>
      </c>
      <c r="C20" s="5"/>
      <c r="E20" s="73"/>
      <c r="F20" s="73"/>
      <c r="G20" s="74"/>
    </row>
    <row r="21" spans="1:7" ht="18" customHeight="1" x14ac:dyDescent="0.35">
      <c r="A21" s="71" t="s">
        <v>19</v>
      </c>
      <c r="B21" s="71" t="s">
        <v>20</v>
      </c>
      <c r="C21" s="5"/>
      <c r="D21" s="75"/>
      <c r="E21" s="73"/>
      <c r="F21" s="73"/>
      <c r="G21" s="74"/>
    </row>
    <row r="22" spans="1:7" ht="18" customHeight="1" x14ac:dyDescent="0.35">
      <c r="A22" s="76" t="s">
        <v>21</v>
      </c>
      <c r="B22" s="76" t="s">
        <v>22</v>
      </c>
      <c r="C22" s="5"/>
      <c r="E22" s="73"/>
      <c r="F22" s="73"/>
      <c r="G22" s="74"/>
    </row>
    <row r="23" spans="1:7" ht="18" customHeight="1" x14ac:dyDescent="0.35">
      <c r="E23" s="73"/>
      <c r="F23" s="73"/>
      <c r="G23" s="74"/>
    </row>
    <row r="24" spans="1:7" ht="18" customHeight="1" x14ac:dyDescent="0.35">
      <c r="E24" s="73"/>
      <c r="F24" s="73"/>
      <c r="G24" s="74"/>
    </row>
    <row r="25" spans="1:7" ht="18" customHeight="1" x14ac:dyDescent="0.35">
      <c r="A25" s="70" t="s">
        <v>23</v>
      </c>
      <c r="E25" s="73"/>
      <c r="F25" s="73"/>
      <c r="G25" s="74"/>
    </row>
    <row r="26" spans="1:7" ht="34" customHeight="1" x14ac:dyDescent="0.35">
      <c r="A26" s="76" t="s">
        <v>24</v>
      </c>
      <c r="B26" s="76" t="s">
        <v>25</v>
      </c>
      <c r="C26" s="76" t="s">
        <v>26</v>
      </c>
      <c r="E26" s="77" t="s">
        <v>27</v>
      </c>
      <c r="F26" s="77"/>
      <c r="G26" s="77"/>
    </row>
    <row r="27" spans="1:7" ht="18" customHeight="1" x14ac:dyDescent="0.35">
      <c r="A27" s="78" t="s">
        <v>28</v>
      </c>
      <c r="B27" s="43"/>
      <c r="C27" s="79" t="str" cm="1">
        <f t="array" ref="C27">IF(
    OR($C$20="", $C$21="", $C$22=""),
    "",
    IFERROR(
        CEILING(
            B27 * INDEX('Credit Scores'!$G:$G,
                MATCH(1,
                    ('Credit Scores'!$B:$B=Calculator!$C$20)*
                    ('Credit Scores'!$C:$C=Calculator!$C$21)*
                    ('Credit Scores'!$D:$D=Calculator!$C$22), 0)
            ),
            1
        ),
        "Please contact GRO"
    )
)</f>
        <v/>
      </c>
      <c r="E27" s="80" t="s">
        <v>29</v>
      </c>
      <c r="F27" s="80"/>
      <c r="G27" s="80"/>
    </row>
    <row r="28" spans="1:7" ht="18" customHeight="1" x14ac:dyDescent="0.35">
      <c r="A28" s="78" t="s">
        <v>30</v>
      </c>
      <c r="B28" s="43"/>
      <c r="C28" s="79" t="str" cm="1">
        <f t="array" ref="C28">IF(
    OR($C$20="", $C$21="", $C$22=""),
    "",
    IFERROR(
        CEILING(
            B28 * INDEX('Credit Scores'!$G:$G,
                MATCH(1,
                    ('Credit Scores'!$B:$B=Calculator!$C$20)*
                    ('Credit Scores'!$C:$C=Calculator!$C$21)*
                    ('Credit Scores'!$D:$D=Calculator!$C$22), 0)
            ),
            1
        ),
        "Please contact GRO"
    )
)</f>
        <v/>
      </c>
      <c r="E28" s="80" t="s">
        <v>31</v>
      </c>
      <c r="F28" s="80"/>
      <c r="G28" s="80"/>
    </row>
    <row r="29" spans="1:7" ht="18" customHeight="1" x14ac:dyDescent="0.35">
      <c r="A29" s="78" t="s">
        <v>32</v>
      </c>
      <c r="B29" s="43"/>
      <c r="C29" s="79" t="str" cm="1">
        <f t="array" ref="C29">IF(
    OR($C$20="", $C$21="", $C$22=""),
    "",
    IFERROR(
        CEILING(
            B29 * INDEX('Credit Scores'!$G:$G,
                MATCH(1,
                    ('Credit Scores'!$B:$B=Calculator!$C$20)*
                    ('Credit Scores'!$C:$C=Calculator!$C$21)*
                    ('Credit Scores'!$D:$D=Calculator!$C$22), 0)
            ),
            1
        ),
        "Please contact GRO"
    )
)</f>
        <v/>
      </c>
      <c r="E29" s="80" t="s">
        <v>33</v>
      </c>
      <c r="F29" s="80"/>
      <c r="G29" s="80"/>
    </row>
    <row r="30" spans="1:7" ht="18" customHeight="1" x14ac:dyDescent="0.35">
      <c r="A30" s="78" t="s">
        <v>34</v>
      </c>
      <c r="B30" s="43"/>
      <c r="C30" s="79" t="str" cm="1">
        <f t="array" ref="C30">IF(
    OR($C$20="", $C$21="", $C$22=""),
    "",
    IFERROR(
        CEILING(
            B30 * INDEX('Credit Scores'!$G:$G,
                MATCH(1,
                    ('Credit Scores'!$B:$B=Calculator!$C$20)*
                    ('Credit Scores'!$C:$C=Calculator!$C$21)*
                    ('Credit Scores'!$D:$D=Calculator!$C$22), 0)
            ),
            1
        ),
        "Please contact GRO"
    )
)</f>
        <v/>
      </c>
      <c r="E30" s="81"/>
      <c r="F30" s="80"/>
      <c r="G30" s="80"/>
    </row>
    <row r="31" spans="1:7" ht="18" customHeight="1" x14ac:dyDescent="0.35">
      <c r="A31" s="78" t="s">
        <v>35</v>
      </c>
      <c r="B31" s="43"/>
      <c r="C31" s="79" t="str" cm="1">
        <f t="array" ref="C31">IF(
    OR($C$20="", $C$21="", $C$22=""),
    "",
    IFERROR(
        CEILING(
            B31 * INDEX('Credit Scores'!$G:$G,
                MATCH(1,
                    ('Credit Scores'!$B:$B=Calculator!$C$20)*
                    ('Credit Scores'!$C:$C=Calculator!$C$21)*
                    ('Credit Scores'!$D:$D=Calculator!$C$22), 0)
            ),
            1
        ),
        "Please contact GRO"
    )
)</f>
        <v/>
      </c>
      <c r="E31" s="81" t="s">
        <v>23</v>
      </c>
      <c r="F31" s="81"/>
      <c r="G31" s="82"/>
    </row>
    <row r="32" spans="1:7" ht="18" customHeight="1" x14ac:dyDescent="0.35">
      <c r="A32" s="43"/>
      <c r="B32" s="43"/>
      <c r="C32" s="79" t="str" cm="1">
        <f t="array" ref="C32">IF(
    OR($C$20="", $C$21="", $C$22=""),
    "",
    IFERROR(
        CEILING(
            B32 * INDEX('Credit Scores'!$G:$G,
                MATCH(1,
                    ('Credit Scores'!$B:$B=Calculator!$C$20)*
                    ('Credit Scores'!$C:$C=Calculator!$C$21)*
                    ('Credit Scores'!$D:$D=Calculator!$C$22), 0)
            ),
            1
        ),
        "Please contact GRO"
    )
)</f>
        <v/>
      </c>
      <c r="E32" s="83" t="s">
        <v>24</v>
      </c>
      <c r="F32" s="83" t="s">
        <v>25</v>
      </c>
      <c r="G32" s="84" t="s">
        <v>26</v>
      </c>
    </row>
    <row r="33" spans="1:7" ht="18" customHeight="1" x14ac:dyDescent="0.35">
      <c r="A33" s="43"/>
      <c r="B33" s="43"/>
      <c r="C33" s="79" t="str" cm="1">
        <f t="array" ref="C33">IF(
    OR($C$20="", $C$21="", $C$22=""),
    "",
    IFERROR(
        CEILING(
            B33 * INDEX('Credit Scores'!$G:$G,
                MATCH(1,
                    ('Credit Scores'!$B:$B=Calculator!$C$20)*
                    ('Credit Scores'!$C:$C=Calculator!$C$21)*
                    ('Credit Scores'!$D:$D=Calculator!$C$22), 0)
            ),
            1
        ),
        "Please contact GRO"
    )
)</f>
        <v/>
      </c>
      <c r="E33" s="85" t="s">
        <v>28</v>
      </c>
      <c r="F33" s="86">
        <v>2</v>
      </c>
      <c r="G33" s="86">
        <v>3</v>
      </c>
    </row>
    <row r="34" spans="1:7" ht="18" customHeight="1" x14ac:dyDescent="0.35">
      <c r="A34" s="43"/>
      <c r="B34" s="43"/>
      <c r="C34" s="79" t="str" cm="1">
        <f t="array" ref="C34">IF(
    OR($C$20="", $C$21="", $C$22=""),
    "",
    IFERROR(
        CEILING(
            B34 * INDEX('Credit Scores'!$G:$G,
                MATCH(1,
                    ('Credit Scores'!$B:$B=Calculator!$C$20)*
                    ('Credit Scores'!$C:$C=Calculator!$C$21)*
                    ('Credit Scores'!$D:$D=Calculator!$C$22), 0)
            ),
            1
        ),
        "Please contact GRO"
    )
)</f>
        <v/>
      </c>
      <c r="E34" s="85" t="s">
        <v>30</v>
      </c>
      <c r="F34" s="86">
        <v>3</v>
      </c>
      <c r="G34" s="86">
        <v>4</v>
      </c>
    </row>
    <row r="35" spans="1:7" ht="18" customHeight="1" x14ac:dyDescent="0.35">
      <c r="A35" s="43"/>
      <c r="B35" s="43"/>
      <c r="C35" s="79" t="str" cm="1">
        <f t="array" ref="C35">IF(
    OR($C$20="", $C$21="", $C$22=""),
    "",
    IFERROR(
        CEILING(
            B35 * INDEX('Credit Scores'!$G:$G,
                MATCH(1,
                    ('Credit Scores'!$B:$B=Calculator!$C$20)*
                    ('Credit Scores'!$C:$C=Calculator!$C$21)*
                    ('Credit Scores'!$D:$D=Calculator!$C$22), 0)
            ),
            1
        ),
        "Please contact GRO"
    )
)</f>
        <v/>
      </c>
      <c r="E35" s="85" t="s">
        <v>32</v>
      </c>
      <c r="F35" s="86">
        <v>3</v>
      </c>
      <c r="G35" s="86">
        <v>4</v>
      </c>
    </row>
    <row r="36" spans="1:7" ht="18" customHeight="1" x14ac:dyDescent="0.35">
      <c r="A36" s="43"/>
      <c r="B36" s="43"/>
      <c r="C36" s="79" t="str" cm="1">
        <f t="array" ref="C36">IF(
    OR($C$20="", $C$21="", $C$22=""),
    "",
    IFERROR(
        CEILING(
            B36 * INDEX('Credit Scores'!$G:$G,
                MATCH(1,
                    ('Credit Scores'!$B:$B=Calculator!$C$20)*
                    ('Credit Scores'!$C:$C=Calculator!$C$21)*
                    ('Credit Scores'!$D:$D=Calculator!$C$22), 0)
            ),
            1
        ),
        "Please contact GRO"
    )
)</f>
        <v/>
      </c>
      <c r="E36" s="85" t="s">
        <v>34</v>
      </c>
      <c r="F36" s="86">
        <v>2</v>
      </c>
      <c r="G36" s="86">
        <v>3</v>
      </c>
    </row>
    <row r="37" spans="1:7" ht="18" customHeight="1" x14ac:dyDescent="0.35">
      <c r="A37" s="87" t="s">
        <v>36</v>
      </c>
      <c r="B37" s="88">
        <f>SUM(B27:B36)</f>
        <v>0</v>
      </c>
      <c r="C37" s="89">
        <f>SUM(C27:C36)</f>
        <v>0</v>
      </c>
      <c r="E37" s="85" t="s">
        <v>35</v>
      </c>
      <c r="F37" s="86">
        <v>4</v>
      </c>
      <c r="G37" s="86">
        <v>6</v>
      </c>
    </row>
    <row r="38" spans="1:7" ht="18" customHeight="1" x14ac:dyDescent="0.35">
      <c r="A38" s="90"/>
      <c r="B38" s="73"/>
      <c r="C38" s="73"/>
      <c r="E38" s="91" t="s">
        <v>36</v>
      </c>
      <c r="F38" s="92">
        <f>SUM(F33:F37)</f>
        <v>14</v>
      </c>
      <c r="G38" s="92">
        <f>SUM(G33:G37)</f>
        <v>20</v>
      </c>
    </row>
    <row r="39" spans="1:7" ht="18" customHeight="1" x14ac:dyDescent="0.35">
      <c r="A39" s="90"/>
      <c r="B39" s="73"/>
      <c r="C39" s="73"/>
      <c r="E39" s="60"/>
      <c r="F39" s="60"/>
      <c r="G39" s="60"/>
    </row>
    <row r="40" spans="1:7" ht="18" customHeight="1" x14ac:dyDescent="0.35">
      <c r="A40" s="90"/>
      <c r="B40" s="73"/>
      <c r="C40" s="73"/>
      <c r="E40" s="90"/>
      <c r="F40" s="73"/>
      <c r="G40" s="73"/>
    </row>
    <row r="41" spans="1:7" ht="18" customHeight="1" x14ac:dyDescent="0.35">
      <c r="A41" s="93"/>
      <c r="B41" s="94"/>
      <c r="C41" s="94"/>
      <c r="E41" s="90"/>
      <c r="F41" s="73"/>
      <c r="G41" s="73"/>
    </row>
    <row r="42" spans="1:7" ht="18" customHeight="1" x14ac:dyDescent="0.35">
      <c r="A42" s="60"/>
      <c r="B42" s="60"/>
      <c r="C42" s="60"/>
      <c r="E42" s="90"/>
      <c r="F42" s="73"/>
      <c r="G42" s="73"/>
    </row>
    <row r="43" spans="1:7" x14ac:dyDescent="0.35">
      <c r="E43" s="90"/>
      <c r="F43" s="73"/>
      <c r="G43" s="73"/>
    </row>
    <row r="44" spans="1:7" x14ac:dyDescent="0.35">
      <c r="E44" s="93"/>
      <c r="F44" s="94"/>
      <c r="G44" s="94"/>
    </row>
    <row r="45" spans="1:7" x14ac:dyDescent="0.35">
      <c r="E45" s="60"/>
      <c r="F45" s="60"/>
      <c r="G45" s="60"/>
    </row>
  </sheetData>
  <sheetProtection algorithmName="SHA-512" hashValue="CydeaBemL8OLpoJm9oyxjwDpJve/iHrPRALWm+7v43TAsj70JRfRV+19yUtZickhM2pmAJZ4NqftAlzGC0FcMQ==" saltValue="BczBeyeA2Tky+zMkhDkjPA==" spinCount="100000" sheet="1" selectLockedCells="1"/>
  <mergeCells count="7">
    <mergeCell ref="E26:G26"/>
    <mergeCell ref="A1:A4"/>
    <mergeCell ref="B8:C8"/>
    <mergeCell ref="B13:F13"/>
    <mergeCell ref="B4:F5"/>
    <mergeCell ref="B14:D14"/>
    <mergeCell ref="B9:C9"/>
  </mergeCells>
  <phoneticPr fontId="9" type="noConversion"/>
  <conditionalFormatting sqref="A1:F1">
    <cfRule type="cellIs" priority="20" operator="greaterThan">
      <formula>CELL("protect",A1)=1</formula>
    </cfRule>
  </conditionalFormatting>
  <conditionalFormatting sqref="A6:F18 A19:G19 A20:D24 E20:G25 A25:B25 A26:C37">
    <cfRule type="cellIs" priority="13" operator="greaterThan">
      <formula>CELL("protect",A6)=1</formula>
    </cfRule>
  </conditionalFormatting>
  <conditionalFormatting sqref="B2:F3 B4">
    <cfRule type="cellIs" priority="15" operator="greaterThan">
      <formula>CELL("protect",B2)=1</formula>
    </cfRule>
  </conditionalFormatting>
  <conditionalFormatting sqref="D25:D37 A38:D47 E46:F47 A48:F1048576">
    <cfRule type="cellIs" priority="12" operator="greaterThan">
      <formula>CELL("protect",A25)=1</formula>
    </cfRule>
  </conditionalFormatting>
  <conditionalFormatting sqref="E26:E30">
    <cfRule type="cellIs" priority="1" operator="greaterThan">
      <formula>CELL("protect",E26)=1</formula>
    </cfRule>
  </conditionalFormatting>
  <conditionalFormatting sqref="E32:E36">
    <cfRule type="cellIs" priority="2" operator="greaterThan">
      <formula>CELL("protect",E32)=1</formula>
    </cfRule>
  </conditionalFormatting>
  <conditionalFormatting sqref="E27:G45 E31:F31">
    <cfRule type="cellIs" priority="3" operator="greaterThan">
      <formula>CELL("protect",E27)=1</formula>
    </cfRule>
  </conditionalFormatting>
  <dataValidations count="4">
    <dataValidation type="list" allowBlank="1" showInputMessage="1" showErrorMessage="1" sqref="C20" xr:uid="{800635F1-4A4D-46AB-919D-755C40681D6B}">
      <formula1>UwideFaculty</formula1>
    </dataValidation>
    <dataValidation type="list" allowBlank="1" showInputMessage="1" showErrorMessage="1" sqref="C21" xr:uid="{403AFAEB-B15D-43B1-BE0F-F7DA13EE9439}">
      <formula1>Country</formula1>
    </dataValidation>
    <dataValidation type="list" allowBlank="1" showInputMessage="1" showErrorMessage="1" sqref="C22" xr:uid="{06E3896E-B6D8-466A-AC74-7103D3E863D5}">
      <formula1>University</formula1>
    </dataValidation>
    <dataValidation type="list" allowBlank="1" showInputMessage="1" showErrorMessage="1" sqref="C19" xr:uid="{1E036D0C-0108-46BB-96DD-6D858460FD98}">
      <formula1>StudentHomeFaculty</formula1>
    </dataValidation>
  </dataValidations>
  <hyperlinks>
    <hyperlink ref="B17:D17" r:id="rId1" display="FAQ on the calculator" xr:uid="{954E8DE1-1AB6-4B3E-BD26-3C6F420F16EF}"/>
    <hyperlink ref="B16" r:id="rId2" xr:uid="{DBEB36FD-6034-45F0-8278-76938E9BD76F}"/>
    <hyperlink ref="B15" r:id="rId3" xr:uid="{82D21DD3-8144-4892-9BB5-2BD2C6261260}"/>
    <hyperlink ref="B17" r:id="rId4" xr:uid="{C516E831-DE35-404F-B7A2-0218CAF37346}"/>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AFA7-D23D-4DED-AEF3-EA33BD50AB02}">
  <dimension ref="A1:H367"/>
  <sheetViews>
    <sheetView topLeftCell="A305" zoomScale="90" zoomScaleNormal="90" workbookViewId="0">
      <selection activeCell="D370" sqref="D370"/>
    </sheetView>
  </sheetViews>
  <sheetFormatPr defaultRowHeight="14.5" x14ac:dyDescent="0.35"/>
  <cols>
    <col min="1" max="2" width="17.1796875" customWidth="1"/>
    <col min="3" max="3" width="14" customWidth="1"/>
    <col min="4" max="4" width="69.7265625" customWidth="1"/>
    <col min="5" max="5" width="32.54296875" style="1" customWidth="1"/>
    <col min="6" max="6" width="23.453125" customWidth="1"/>
    <col min="7" max="7" width="11.54296875" style="1" bestFit="1" customWidth="1"/>
    <col min="8" max="8" width="64.1796875" style="15" customWidth="1"/>
  </cols>
  <sheetData>
    <row r="1" spans="1:8" ht="26" x14ac:dyDescent="0.35">
      <c r="A1" s="19" t="s">
        <v>37</v>
      </c>
      <c r="B1" s="3" t="s">
        <v>38</v>
      </c>
      <c r="C1" s="3" t="s">
        <v>20</v>
      </c>
      <c r="D1" s="3" t="s">
        <v>39</v>
      </c>
      <c r="E1" s="3" t="s">
        <v>40</v>
      </c>
      <c r="F1" s="4" t="s">
        <v>41</v>
      </c>
      <c r="G1" s="3" t="s">
        <v>42</v>
      </c>
      <c r="H1" s="2" t="s">
        <v>43</v>
      </c>
    </row>
    <row r="2" spans="1:8" s="39" customFormat="1" ht="25" x14ac:dyDescent="0.35">
      <c r="A2" s="8" t="s">
        <v>44</v>
      </c>
      <c r="B2" s="9" t="s">
        <v>45</v>
      </c>
      <c r="C2" s="9" t="s">
        <v>46</v>
      </c>
      <c r="D2" s="10" t="s">
        <v>47</v>
      </c>
      <c r="E2" s="12">
        <v>28</v>
      </c>
      <c r="F2" s="28" t="s">
        <v>48</v>
      </c>
      <c r="G2" s="12">
        <f t="shared" ref="G2:G34" si="0">20/E2</f>
        <v>0.7142857142857143</v>
      </c>
      <c r="H2" s="38" t="s">
        <v>49</v>
      </c>
    </row>
    <row r="3" spans="1:8" x14ac:dyDescent="0.35">
      <c r="A3" s="16" t="s">
        <v>44</v>
      </c>
      <c r="B3" s="7" t="s">
        <v>50</v>
      </c>
      <c r="C3" s="7" t="s">
        <v>46</v>
      </c>
      <c r="D3" s="21" t="s">
        <v>51</v>
      </c>
      <c r="E3" s="20">
        <v>20</v>
      </c>
      <c r="F3" s="14" t="s">
        <v>52</v>
      </c>
      <c r="G3" s="12">
        <f t="shared" si="0"/>
        <v>1</v>
      </c>
      <c r="H3" s="17" t="s">
        <v>53</v>
      </c>
    </row>
    <row r="4" spans="1:8" x14ac:dyDescent="0.35">
      <c r="A4" s="8" t="s">
        <v>44</v>
      </c>
      <c r="B4" s="9" t="s">
        <v>54</v>
      </c>
      <c r="C4" s="9" t="s">
        <v>55</v>
      </c>
      <c r="D4" s="10" t="s">
        <v>56</v>
      </c>
      <c r="E4" s="12">
        <v>15</v>
      </c>
      <c r="F4" s="28" t="s">
        <v>52</v>
      </c>
      <c r="G4" s="12">
        <f t="shared" si="0"/>
        <v>1.3333333333333333</v>
      </c>
      <c r="H4" s="17" t="s">
        <v>57</v>
      </c>
    </row>
    <row r="5" spans="1:8" x14ac:dyDescent="0.35">
      <c r="A5" s="8" t="s">
        <v>44</v>
      </c>
      <c r="B5" s="9" t="s">
        <v>54</v>
      </c>
      <c r="C5" s="9" t="s">
        <v>55</v>
      </c>
      <c r="D5" s="10" t="s">
        <v>58</v>
      </c>
      <c r="E5" s="12">
        <v>15</v>
      </c>
      <c r="F5" s="28" t="s">
        <v>59</v>
      </c>
      <c r="G5" s="12">
        <f t="shared" si="0"/>
        <v>1.3333333333333333</v>
      </c>
      <c r="H5" s="17" t="s">
        <v>57</v>
      </c>
    </row>
    <row r="6" spans="1:8" x14ac:dyDescent="0.35">
      <c r="A6" s="7" t="s">
        <v>44</v>
      </c>
      <c r="B6" s="7" t="s">
        <v>45</v>
      </c>
      <c r="C6" s="7" t="s">
        <v>55</v>
      </c>
      <c r="D6" s="21" t="s">
        <v>60</v>
      </c>
      <c r="E6" s="29">
        <v>15</v>
      </c>
      <c r="F6" s="7" t="s">
        <v>61</v>
      </c>
      <c r="G6" s="12">
        <f t="shared" si="0"/>
        <v>1.3333333333333333</v>
      </c>
      <c r="H6" s="17" t="s">
        <v>62</v>
      </c>
    </row>
    <row r="7" spans="1:8" x14ac:dyDescent="0.35">
      <c r="A7" s="8" t="s">
        <v>44</v>
      </c>
      <c r="B7" s="9" t="s">
        <v>54</v>
      </c>
      <c r="C7" s="9" t="s">
        <v>55</v>
      </c>
      <c r="D7" s="10" t="s">
        <v>63</v>
      </c>
      <c r="E7" s="12">
        <v>15</v>
      </c>
      <c r="F7" s="28" t="s">
        <v>52</v>
      </c>
      <c r="G7" s="12">
        <f t="shared" si="0"/>
        <v>1.3333333333333333</v>
      </c>
      <c r="H7" s="17" t="s">
        <v>57</v>
      </c>
    </row>
    <row r="8" spans="1:8" x14ac:dyDescent="0.35">
      <c r="A8" s="7" t="s">
        <v>44</v>
      </c>
      <c r="B8" s="7" t="s">
        <v>54</v>
      </c>
      <c r="C8" s="7" t="s">
        <v>55</v>
      </c>
      <c r="D8" s="21" t="s">
        <v>64</v>
      </c>
      <c r="E8" s="29">
        <v>15</v>
      </c>
      <c r="F8" s="7" t="s">
        <v>61</v>
      </c>
      <c r="G8" s="12">
        <f t="shared" si="0"/>
        <v>1.3333333333333333</v>
      </c>
      <c r="H8" s="17" t="s">
        <v>62</v>
      </c>
    </row>
    <row r="9" spans="1:8" x14ac:dyDescent="0.35">
      <c r="A9" s="8" t="s">
        <v>44</v>
      </c>
      <c r="B9" s="9" t="s">
        <v>54</v>
      </c>
      <c r="C9" s="9" t="s">
        <v>55</v>
      </c>
      <c r="D9" s="10" t="s">
        <v>65</v>
      </c>
      <c r="E9" s="12">
        <v>15</v>
      </c>
      <c r="F9" s="28" t="s">
        <v>61</v>
      </c>
      <c r="G9" s="12">
        <f t="shared" si="0"/>
        <v>1.3333333333333333</v>
      </c>
      <c r="H9" s="17" t="s">
        <v>57</v>
      </c>
    </row>
    <row r="10" spans="1:8" x14ac:dyDescent="0.35">
      <c r="A10" s="8" t="s">
        <v>44</v>
      </c>
      <c r="B10" s="9" t="s">
        <v>45</v>
      </c>
      <c r="C10" s="9" t="s">
        <v>55</v>
      </c>
      <c r="D10" s="10" t="s">
        <v>66</v>
      </c>
      <c r="E10" s="12">
        <v>15</v>
      </c>
      <c r="F10" s="28" t="s">
        <v>67</v>
      </c>
      <c r="G10" s="12">
        <f t="shared" si="0"/>
        <v>1.3333333333333333</v>
      </c>
      <c r="H10" s="17" t="s">
        <v>57</v>
      </c>
    </row>
    <row r="11" spans="1:8" x14ac:dyDescent="0.35">
      <c r="A11" s="8" t="s">
        <v>44</v>
      </c>
      <c r="B11" s="9" t="s">
        <v>54</v>
      </c>
      <c r="C11" s="9" t="s">
        <v>55</v>
      </c>
      <c r="D11" s="10" t="s">
        <v>68</v>
      </c>
      <c r="E11" s="12">
        <v>15</v>
      </c>
      <c r="F11" s="28" t="s">
        <v>61</v>
      </c>
      <c r="G11" s="12">
        <f t="shared" si="0"/>
        <v>1.3333333333333333</v>
      </c>
      <c r="H11" s="17" t="s">
        <v>57</v>
      </c>
    </row>
    <row r="12" spans="1:8" x14ac:dyDescent="0.35">
      <c r="A12" s="8" t="s">
        <v>44</v>
      </c>
      <c r="B12" s="9" t="s">
        <v>54</v>
      </c>
      <c r="C12" s="9" t="s">
        <v>55</v>
      </c>
      <c r="D12" s="10" t="s">
        <v>69</v>
      </c>
      <c r="E12" s="12">
        <v>15</v>
      </c>
      <c r="F12" s="28" t="s">
        <v>52</v>
      </c>
      <c r="G12" s="12">
        <f t="shared" si="0"/>
        <v>1.3333333333333333</v>
      </c>
      <c r="H12" s="17" t="s">
        <v>57</v>
      </c>
    </row>
    <row r="13" spans="1:8" x14ac:dyDescent="0.35">
      <c r="A13" s="8" t="s">
        <v>44</v>
      </c>
      <c r="B13" s="9" t="s">
        <v>54</v>
      </c>
      <c r="C13" s="9" t="s">
        <v>55</v>
      </c>
      <c r="D13" s="10" t="s">
        <v>70</v>
      </c>
      <c r="E13" s="12">
        <v>15</v>
      </c>
      <c r="F13" s="28" t="s">
        <v>52</v>
      </c>
      <c r="G13" s="12">
        <f t="shared" si="0"/>
        <v>1.3333333333333333</v>
      </c>
      <c r="H13" s="17" t="s">
        <v>57</v>
      </c>
    </row>
    <row r="14" spans="1:8" x14ac:dyDescent="0.35">
      <c r="A14" s="8" t="s">
        <v>44</v>
      </c>
      <c r="B14" s="9" t="s">
        <v>54</v>
      </c>
      <c r="C14" s="9" t="s">
        <v>55</v>
      </c>
      <c r="D14" s="10" t="s">
        <v>71</v>
      </c>
      <c r="E14" s="12">
        <v>15</v>
      </c>
      <c r="F14" s="28" t="s">
        <v>61</v>
      </c>
      <c r="G14" s="12">
        <f t="shared" si="0"/>
        <v>1.3333333333333333</v>
      </c>
      <c r="H14" s="17" t="s">
        <v>57</v>
      </c>
    </row>
    <row r="15" spans="1:8" x14ac:dyDescent="0.35">
      <c r="A15" s="8" t="s">
        <v>44</v>
      </c>
      <c r="B15" s="9" t="s">
        <v>54</v>
      </c>
      <c r="C15" s="9" t="s">
        <v>55</v>
      </c>
      <c r="D15" s="10" t="s">
        <v>72</v>
      </c>
      <c r="E15" s="12">
        <v>2.5</v>
      </c>
      <c r="F15" s="28" t="s">
        <v>73</v>
      </c>
      <c r="G15" s="12">
        <f t="shared" si="0"/>
        <v>8</v>
      </c>
      <c r="H15" s="17" t="s">
        <v>57</v>
      </c>
    </row>
    <row r="16" spans="1:8" x14ac:dyDescent="0.35">
      <c r="A16" s="8" t="s">
        <v>44</v>
      </c>
      <c r="B16" s="9" t="s">
        <v>54</v>
      </c>
      <c r="C16" s="9" t="s">
        <v>55</v>
      </c>
      <c r="D16" s="10" t="s">
        <v>74</v>
      </c>
      <c r="E16" s="12">
        <v>15</v>
      </c>
      <c r="F16" s="28" t="s">
        <v>52</v>
      </c>
      <c r="G16" s="12">
        <f t="shared" si="0"/>
        <v>1.3333333333333333</v>
      </c>
      <c r="H16" s="17" t="s">
        <v>57</v>
      </c>
    </row>
    <row r="17" spans="1:8" x14ac:dyDescent="0.35">
      <c r="A17" s="8" t="s">
        <v>44</v>
      </c>
      <c r="B17" s="9" t="s">
        <v>54</v>
      </c>
      <c r="C17" s="9" t="s">
        <v>55</v>
      </c>
      <c r="D17" s="10" t="s">
        <v>75</v>
      </c>
      <c r="E17" s="12">
        <v>2.5</v>
      </c>
      <c r="F17" s="28" t="s">
        <v>52</v>
      </c>
      <c r="G17" s="12">
        <f t="shared" si="0"/>
        <v>8</v>
      </c>
      <c r="H17" s="17" t="s">
        <v>57</v>
      </c>
    </row>
    <row r="18" spans="1:8" x14ac:dyDescent="0.35">
      <c r="A18" s="8" t="s">
        <v>44</v>
      </c>
      <c r="B18" s="9" t="s">
        <v>54</v>
      </c>
      <c r="C18" s="9" t="s">
        <v>55</v>
      </c>
      <c r="D18" s="10" t="s">
        <v>76</v>
      </c>
      <c r="E18" s="12">
        <v>7.5</v>
      </c>
      <c r="F18" s="28" t="s">
        <v>61</v>
      </c>
      <c r="G18" s="12">
        <f t="shared" si="0"/>
        <v>2.6666666666666665</v>
      </c>
      <c r="H18" s="17" t="s">
        <v>57</v>
      </c>
    </row>
    <row r="19" spans="1:8" x14ac:dyDescent="0.35">
      <c r="A19" s="8" t="s">
        <v>44</v>
      </c>
      <c r="B19" s="9" t="s">
        <v>54</v>
      </c>
      <c r="C19" s="9" t="s">
        <v>55</v>
      </c>
      <c r="D19" s="10" t="s">
        <v>77</v>
      </c>
      <c r="E19" s="12">
        <v>2.5</v>
      </c>
      <c r="F19" s="28" t="s">
        <v>52</v>
      </c>
      <c r="G19" s="12">
        <f t="shared" si="0"/>
        <v>8</v>
      </c>
      <c r="H19" s="17" t="s">
        <v>57</v>
      </c>
    </row>
    <row r="20" spans="1:8" x14ac:dyDescent="0.35">
      <c r="A20" s="8" t="s">
        <v>44</v>
      </c>
      <c r="B20" s="9" t="s">
        <v>54</v>
      </c>
      <c r="C20" s="9" t="s">
        <v>55</v>
      </c>
      <c r="D20" s="10" t="s">
        <v>78</v>
      </c>
      <c r="E20" s="12">
        <v>2.5</v>
      </c>
      <c r="F20" s="28" t="s">
        <v>52</v>
      </c>
      <c r="G20" s="12">
        <f t="shared" si="0"/>
        <v>8</v>
      </c>
      <c r="H20" s="17" t="s">
        <v>57</v>
      </c>
    </row>
    <row r="21" spans="1:8" x14ac:dyDescent="0.35">
      <c r="A21" s="16" t="s">
        <v>44</v>
      </c>
      <c r="B21" s="7" t="s">
        <v>45</v>
      </c>
      <c r="C21" s="7" t="s">
        <v>55</v>
      </c>
      <c r="D21" s="21" t="s">
        <v>79</v>
      </c>
      <c r="E21" s="30">
        <v>2.5</v>
      </c>
      <c r="F21" s="14" t="s">
        <v>52</v>
      </c>
      <c r="G21" s="12">
        <f t="shared" si="0"/>
        <v>8</v>
      </c>
      <c r="H21" s="18" t="s">
        <v>53</v>
      </c>
    </row>
    <row r="22" spans="1:8" x14ac:dyDescent="0.35">
      <c r="A22" s="8" t="s">
        <v>44</v>
      </c>
      <c r="B22" s="9" t="s">
        <v>54</v>
      </c>
      <c r="C22" s="9" t="s">
        <v>55</v>
      </c>
      <c r="D22" s="10" t="s">
        <v>80</v>
      </c>
      <c r="E22" s="12">
        <v>15</v>
      </c>
      <c r="F22" s="28" t="s">
        <v>52</v>
      </c>
      <c r="G22" s="12">
        <f t="shared" si="0"/>
        <v>1.3333333333333333</v>
      </c>
      <c r="H22" s="17" t="s">
        <v>57</v>
      </c>
    </row>
    <row r="23" spans="1:8" x14ac:dyDescent="0.35">
      <c r="A23" s="16" t="s">
        <v>44</v>
      </c>
      <c r="B23" s="7" t="s">
        <v>45</v>
      </c>
      <c r="C23" s="7" t="s">
        <v>55</v>
      </c>
      <c r="D23" s="21" t="s">
        <v>81</v>
      </c>
      <c r="E23" s="30">
        <v>15</v>
      </c>
      <c r="F23" s="14" t="s">
        <v>82</v>
      </c>
      <c r="G23" s="12">
        <f t="shared" si="0"/>
        <v>1.3333333333333333</v>
      </c>
      <c r="H23" s="18" t="s">
        <v>49</v>
      </c>
    </row>
    <row r="24" spans="1:8" x14ac:dyDescent="0.35">
      <c r="A24" s="16" t="s">
        <v>44</v>
      </c>
      <c r="B24" s="7" t="s">
        <v>45</v>
      </c>
      <c r="C24" s="7" t="s">
        <v>83</v>
      </c>
      <c r="D24" s="21" t="s">
        <v>84</v>
      </c>
      <c r="E24" s="20">
        <v>24</v>
      </c>
      <c r="F24" s="14" t="s">
        <v>52</v>
      </c>
      <c r="G24" s="12">
        <f t="shared" si="0"/>
        <v>0.83333333333333337</v>
      </c>
      <c r="H24" s="17" t="s">
        <v>53</v>
      </c>
    </row>
    <row r="25" spans="1:8" x14ac:dyDescent="0.35">
      <c r="A25" s="7" t="s">
        <v>44</v>
      </c>
      <c r="B25" s="7" t="s">
        <v>54</v>
      </c>
      <c r="C25" s="7" t="s">
        <v>83</v>
      </c>
      <c r="D25" s="21" t="s">
        <v>85</v>
      </c>
      <c r="E25" s="29">
        <v>18</v>
      </c>
      <c r="F25" s="7" t="s">
        <v>61</v>
      </c>
      <c r="G25" s="12">
        <f t="shared" si="0"/>
        <v>1.1111111111111112</v>
      </c>
      <c r="H25" s="17" t="s">
        <v>62</v>
      </c>
    </row>
    <row r="26" spans="1:8" x14ac:dyDescent="0.35">
      <c r="A26" s="7" t="s">
        <v>44</v>
      </c>
      <c r="B26" s="7" t="s">
        <v>86</v>
      </c>
      <c r="C26" s="7" t="s">
        <v>87</v>
      </c>
      <c r="D26" s="21" t="s">
        <v>88</v>
      </c>
      <c r="E26" s="29">
        <v>16</v>
      </c>
      <c r="F26" s="7" t="s">
        <v>52</v>
      </c>
      <c r="G26" s="12">
        <f t="shared" si="0"/>
        <v>1.25</v>
      </c>
      <c r="H26" s="17" t="s">
        <v>62</v>
      </c>
    </row>
    <row r="27" spans="1:8" x14ac:dyDescent="0.35">
      <c r="A27" s="8" t="s">
        <v>44</v>
      </c>
      <c r="B27" s="9" t="s">
        <v>54</v>
      </c>
      <c r="C27" s="9" t="s">
        <v>87</v>
      </c>
      <c r="D27" s="10" t="s">
        <v>89</v>
      </c>
      <c r="E27" s="12">
        <v>15</v>
      </c>
      <c r="F27" s="28" t="s">
        <v>52</v>
      </c>
      <c r="G27" s="12">
        <f t="shared" si="0"/>
        <v>1.3333333333333333</v>
      </c>
      <c r="H27" s="17" t="s">
        <v>57</v>
      </c>
    </row>
    <row r="28" spans="1:8" x14ac:dyDescent="0.35">
      <c r="A28" s="8" t="s">
        <v>44</v>
      </c>
      <c r="B28" s="9" t="s">
        <v>54</v>
      </c>
      <c r="C28" s="9" t="s">
        <v>87</v>
      </c>
      <c r="D28" s="10" t="s">
        <v>90</v>
      </c>
      <c r="E28" s="12">
        <v>15</v>
      </c>
      <c r="F28" s="28" t="s">
        <v>52</v>
      </c>
      <c r="G28" s="12">
        <f t="shared" ref="G28" si="1">20/E28</f>
        <v>1.3333333333333333</v>
      </c>
      <c r="H28" s="17" t="s">
        <v>91</v>
      </c>
    </row>
    <row r="29" spans="1:8" x14ac:dyDescent="0.35">
      <c r="A29" s="8" t="s">
        <v>44</v>
      </c>
      <c r="B29" s="9" t="s">
        <v>54</v>
      </c>
      <c r="C29" s="9" t="s">
        <v>87</v>
      </c>
      <c r="D29" s="10" t="s">
        <v>92</v>
      </c>
      <c r="E29" s="12">
        <v>16</v>
      </c>
      <c r="F29" s="28" t="s">
        <v>52</v>
      </c>
      <c r="G29" s="12">
        <f t="shared" si="0"/>
        <v>1.25</v>
      </c>
      <c r="H29" s="17" t="s">
        <v>57</v>
      </c>
    </row>
    <row r="30" spans="1:8" x14ac:dyDescent="0.35">
      <c r="A30" s="8" t="s">
        <v>44</v>
      </c>
      <c r="B30" s="9" t="s">
        <v>54</v>
      </c>
      <c r="C30" s="9" t="s">
        <v>87</v>
      </c>
      <c r="D30" s="10" t="s">
        <v>93</v>
      </c>
      <c r="E30" s="12">
        <v>16</v>
      </c>
      <c r="F30" s="28" t="s">
        <v>52</v>
      </c>
      <c r="G30" s="12">
        <f t="shared" si="0"/>
        <v>1.25</v>
      </c>
      <c r="H30" s="17" t="s">
        <v>57</v>
      </c>
    </row>
    <row r="31" spans="1:8" x14ac:dyDescent="0.35">
      <c r="A31" s="16" t="s">
        <v>44</v>
      </c>
      <c r="B31" s="7" t="s">
        <v>54</v>
      </c>
      <c r="C31" s="7" t="s">
        <v>87</v>
      </c>
      <c r="D31" s="21" t="s">
        <v>94</v>
      </c>
      <c r="E31" s="20">
        <v>2.5</v>
      </c>
      <c r="F31" s="14" t="s">
        <v>52</v>
      </c>
      <c r="G31" s="12">
        <f t="shared" si="0"/>
        <v>8</v>
      </c>
      <c r="H31" s="17" t="s">
        <v>53</v>
      </c>
    </row>
    <row r="32" spans="1:8" x14ac:dyDescent="0.35">
      <c r="A32" s="8" t="s">
        <v>44</v>
      </c>
      <c r="B32" s="9" t="s">
        <v>54</v>
      </c>
      <c r="C32" s="9" t="s">
        <v>87</v>
      </c>
      <c r="D32" s="10" t="s">
        <v>95</v>
      </c>
      <c r="E32" s="12">
        <v>45</v>
      </c>
      <c r="F32" s="28" t="s">
        <v>61</v>
      </c>
      <c r="G32" s="12">
        <f t="shared" si="0"/>
        <v>0.44444444444444442</v>
      </c>
      <c r="H32" s="17" t="s">
        <v>57</v>
      </c>
    </row>
    <row r="33" spans="1:8" x14ac:dyDescent="0.35">
      <c r="A33" s="8" t="s">
        <v>44</v>
      </c>
      <c r="B33" s="9" t="s">
        <v>54</v>
      </c>
      <c r="C33" s="9" t="s">
        <v>87</v>
      </c>
      <c r="D33" s="10" t="s">
        <v>96</v>
      </c>
      <c r="E33" s="12">
        <v>15</v>
      </c>
      <c r="F33" s="28" t="s">
        <v>52</v>
      </c>
      <c r="G33" s="12">
        <f t="shared" si="0"/>
        <v>1.3333333333333333</v>
      </c>
      <c r="H33" s="17" t="s">
        <v>57</v>
      </c>
    </row>
    <row r="34" spans="1:8" x14ac:dyDescent="0.35">
      <c r="A34" s="8" t="s">
        <v>44</v>
      </c>
      <c r="B34" s="9" t="s">
        <v>54</v>
      </c>
      <c r="C34" s="9" t="s">
        <v>87</v>
      </c>
      <c r="D34" s="10" t="s">
        <v>97</v>
      </c>
      <c r="E34" s="12">
        <v>15</v>
      </c>
      <c r="F34" s="28" t="s">
        <v>52</v>
      </c>
      <c r="G34" s="12">
        <f t="shared" si="0"/>
        <v>1.3333333333333333</v>
      </c>
      <c r="H34" s="17" t="s">
        <v>57</v>
      </c>
    </row>
    <row r="35" spans="1:8" x14ac:dyDescent="0.35">
      <c r="A35" s="7" t="s">
        <v>44</v>
      </c>
      <c r="B35" s="7" t="s">
        <v>98</v>
      </c>
      <c r="C35" s="7" t="s">
        <v>87</v>
      </c>
      <c r="D35" s="21" t="s">
        <v>99</v>
      </c>
      <c r="E35" s="29">
        <v>4</v>
      </c>
      <c r="F35" s="7" t="s">
        <v>52</v>
      </c>
      <c r="G35" s="12">
        <f t="shared" ref="G35:G68" si="2">20/E35</f>
        <v>5</v>
      </c>
      <c r="H35" s="17" t="s">
        <v>62</v>
      </c>
    </row>
    <row r="36" spans="1:8" x14ac:dyDescent="0.35">
      <c r="A36" s="8" t="s">
        <v>44</v>
      </c>
      <c r="B36" s="9" t="s">
        <v>54</v>
      </c>
      <c r="C36" s="9" t="s">
        <v>87</v>
      </c>
      <c r="D36" s="10" t="s">
        <v>100</v>
      </c>
      <c r="E36" s="12">
        <v>15</v>
      </c>
      <c r="F36" s="28" t="s">
        <v>52</v>
      </c>
      <c r="G36" s="12">
        <f t="shared" si="2"/>
        <v>1.3333333333333333</v>
      </c>
      <c r="H36" s="17" t="s">
        <v>57</v>
      </c>
    </row>
    <row r="37" spans="1:8" x14ac:dyDescent="0.35">
      <c r="A37" s="7" t="s">
        <v>44</v>
      </c>
      <c r="B37" s="7" t="s">
        <v>50</v>
      </c>
      <c r="C37" s="7" t="s">
        <v>87</v>
      </c>
      <c r="D37" s="21" t="s">
        <v>101</v>
      </c>
      <c r="E37" s="29">
        <v>17</v>
      </c>
      <c r="F37" s="7" t="s">
        <v>52</v>
      </c>
      <c r="G37" s="12">
        <f t="shared" si="2"/>
        <v>1.1764705882352942</v>
      </c>
      <c r="H37" s="17" t="s">
        <v>62</v>
      </c>
    </row>
    <row r="38" spans="1:8" x14ac:dyDescent="0.35">
      <c r="A38" s="8" t="s">
        <v>44</v>
      </c>
      <c r="B38" s="9" t="s">
        <v>54</v>
      </c>
      <c r="C38" s="9" t="s">
        <v>87</v>
      </c>
      <c r="D38" s="10" t="s">
        <v>102</v>
      </c>
      <c r="E38" s="12">
        <v>15</v>
      </c>
      <c r="F38" s="28" t="s">
        <v>52</v>
      </c>
      <c r="G38" s="12">
        <f t="shared" si="2"/>
        <v>1.3333333333333333</v>
      </c>
      <c r="H38" s="17" t="s">
        <v>57</v>
      </c>
    </row>
    <row r="39" spans="1:8" x14ac:dyDescent="0.35">
      <c r="A39" s="16" t="s">
        <v>44</v>
      </c>
      <c r="B39" s="7" t="s">
        <v>54</v>
      </c>
      <c r="C39" s="7" t="s">
        <v>87</v>
      </c>
      <c r="D39" s="21" t="s">
        <v>103</v>
      </c>
      <c r="E39" s="20">
        <v>15</v>
      </c>
      <c r="F39" s="14" t="s">
        <v>52</v>
      </c>
      <c r="G39" s="12">
        <f t="shared" si="2"/>
        <v>1.3333333333333333</v>
      </c>
      <c r="H39" s="17" t="s">
        <v>53</v>
      </c>
    </row>
    <row r="40" spans="1:8" x14ac:dyDescent="0.35">
      <c r="A40" s="7" t="s">
        <v>44</v>
      </c>
      <c r="B40" s="7" t="s">
        <v>50</v>
      </c>
      <c r="C40" s="7" t="s">
        <v>87</v>
      </c>
      <c r="D40" s="21" t="s">
        <v>104</v>
      </c>
      <c r="E40" s="29">
        <v>16</v>
      </c>
      <c r="F40" s="7" t="s">
        <v>52</v>
      </c>
      <c r="G40" s="12">
        <f t="shared" si="2"/>
        <v>1.25</v>
      </c>
      <c r="H40" s="17" t="s">
        <v>62</v>
      </c>
    </row>
    <row r="41" spans="1:8" x14ac:dyDescent="0.35">
      <c r="A41" s="8" t="s">
        <v>44</v>
      </c>
      <c r="B41" s="9" t="s">
        <v>54</v>
      </c>
      <c r="C41" s="9" t="s">
        <v>87</v>
      </c>
      <c r="D41" s="10" t="s">
        <v>105</v>
      </c>
      <c r="E41" s="12">
        <v>15</v>
      </c>
      <c r="F41" s="28" t="s">
        <v>52</v>
      </c>
      <c r="G41" s="12">
        <f t="shared" si="2"/>
        <v>1.3333333333333333</v>
      </c>
      <c r="H41" s="17" t="s">
        <v>57</v>
      </c>
    </row>
    <row r="42" spans="1:8" x14ac:dyDescent="0.35">
      <c r="A42" s="8" t="s">
        <v>44</v>
      </c>
      <c r="B42" s="9" t="s">
        <v>54</v>
      </c>
      <c r="C42" s="9" t="s">
        <v>87</v>
      </c>
      <c r="D42" s="10" t="s">
        <v>106</v>
      </c>
      <c r="E42" s="12">
        <v>15</v>
      </c>
      <c r="F42" s="28" t="s">
        <v>52</v>
      </c>
      <c r="G42" s="12">
        <f t="shared" si="2"/>
        <v>1.3333333333333333</v>
      </c>
      <c r="H42" s="17" t="s">
        <v>57</v>
      </c>
    </row>
    <row r="43" spans="1:8" x14ac:dyDescent="0.35">
      <c r="A43" s="8" t="s">
        <v>44</v>
      </c>
      <c r="B43" s="9" t="s">
        <v>54</v>
      </c>
      <c r="C43" s="9" t="s">
        <v>87</v>
      </c>
      <c r="D43" s="10" t="s">
        <v>107</v>
      </c>
      <c r="E43" s="12">
        <v>15</v>
      </c>
      <c r="F43" s="28" t="s">
        <v>52</v>
      </c>
      <c r="G43" s="12">
        <f t="shared" si="2"/>
        <v>1.3333333333333333</v>
      </c>
      <c r="H43" s="17" t="s">
        <v>57</v>
      </c>
    </row>
    <row r="44" spans="1:8" x14ac:dyDescent="0.35">
      <c r="A44" s="16" t="s">
        <v>44</v>
      </c>
      <c r="B44" s="7" t="s">
        <v>50</v>
      </c>
      <c r="C44" s="7" t="s">
        <v>87</v>
      </c>
      <c r="D44" s="21" t="s">
        <v>108</v>
      </c>
      <c r="E44" s="20">
        <v>15</v>
      </c>
      <c r="F44" s="14" t="s">
        <v>52</v>
      </c>
      <c r="G44" s="12">
        <f t="shared" si="2"/>
        <v>1.3333333333333333</v>
      </c>
      <c r="H44" s="17" t="s">
        <v>53</v>
      </c>
    </row>
    <row r="45" spans="1:8" x14ac:dyDescent="0.35">
      <c r="A45" s="16" t="s">
        <v>44</v>
      </c>
      <c r="B45" s="7" t="s">
        <v>50</v>
      </c>
      <c r="C45" s="7" t="s">
        <v>87</v>
      </c>
      <c r="D45" s="25" t="s">
        <v>109</v>
      </c>
      <c r="E45" s="20">
        <v>17</v>
      </c>
      <c r="F45" s="14" t="s">
        <v>52</v>
      </c>
      <c r="G45" s="12">
        <f t="shared" si="2"/>
        <v>1.1764705882352942</v>
      </c>
      <c r="H45" s="17" t="s">
        <v>53</v>
      </c>
    </row>
    <row r="46" spans="1:8" x14ac:dyDescent="0.35">
      <c r="A46" s="16" t="s">
        <v>44</v>
      </c>
      <c r="B46" s="7" t="s">
        <v>45</v>
      </c>
      <c r="C46" s="7" t="s">
        <v>87</v>
      </c>
      <c r="D46" s="21" t="s">
        <v>110</v>
      </c>
      <c r="E46" s="20">
        <v>15</v>
      </c>
      <c r="F46" s="14" t="s">
        <v>52</v>
      </c>
      <c r="G46" s="12">
        <f t="shared" si="2"/>
        <v>1.3333333333333333</v>
      </c>
      <c r="H46" s="18" t="s">
        <v>111</v>
      </c>
    </row>
    <row r="47" spans="1:8" x14ac:dyDescent="0.35">
      <c r="A47" s="7" t="s">
        <v>44</v>
      </c>
      <c r="B47" s="7" t="s">
        <v>54</v>
      </c>
      <c r="C47" s="7" t="s">
        <v>87</v>
      </c>
      <c r="D47" s="21" t="s">
        <v>112</v>
      </c>
      <c r="E47" s="29">
        <v>5.625</v>
      </c>
      <c r="F47" s="7" t="s">
        <v>52</v>
      </c>
      <c r="G47" s="12">
        <f t="shared" si="2"/>
        <v>3.5555555555555554</v>
      </c>
      <c r="H47" s="17" t="s">
        <v>91</v>
      </c>
    </row>
    <row r="48" spans="1:8" s="26" customFormat="1" x14ac:dyDescent="0.35">
      <c r="A48" s="14" t="s">
        <v>44</v>
      </c>
      <c r="B48" s="14" t="s">
        <v>50</v>
      </c>
      <c r="C48" s="14" t="s">
        <v>87</v>
      </c>
      <c r="D48" s="14" t="s">
        <v>113</v>
      </c>
      <c r="E48" s="24">
        <v>15</v>
      </c>
      <c r="F48" s="25" t="s">
        <v>52</v>
      </c>
      <c r="G48" s="24">
        <f>20/Table1[[#This Row],[Regular semester workload for full-time undergraduate students]]</f>
        <v>1.3333333333333333</v>
      </c>
      <c r="H48" s="18" t="s">
        <v>114</v>
      </c>
    </row>
    <row r="49" spans="1:8" x14ac:dyDescent="0.35">
      <c r="A49" s="8" t="s">
        <v>44</v>
      </c>
      <c r="B49" s="9" t="s">
        <v>54</v>
      </c>
      <c r="C49" s="9" t="s">
        <v>87</v>
      </c>
      <c r="D49" s="10" t="s">
        <v>115</v>
      </c>
      <c r="E49" s="12">
        <v>15</v>
      </c>
      <c r="F49" s="28" t="s">
        <v>52</v>
      </c>
      <c r="G49" s="12">
        <f t="shared" si="2"/>
        <v>1.3333333333333333</v>
      </c>
      <c r="H49" s="17" t="s">
        <v>57</v>
      </c>
    </row>
    <row r="50" spans="1:8" x14ac:dyDescent="0.35">
      <c r="A50" s="8" t="s">
        <v>44</v>
      </c>
      <c r="B50" s="9" t="s">
        <v>54</v>
      </c>
      <c r="C50" s="9" t="s">
        <v>87</v>
      </c>
      <c r="D50" s="10" t="s">
        <v>116</v>
      </c>
      <c r="E50" s="12">
        <v>4</v>
      </c>
      <c r="F50" s="28" t="s">
        <v>117</v>
      </c>
      <c r="G50" s="12">
        <f t="shared" si="2"/>
        <v>5</v>
      </c>
      <c r="H50" s="17" t="s">
        <v>57</v>
      </c>
    </row>
    <row r="51" spans="1:8" x14ac:dyDescent="0.35">
      <c r="A51" s="8" t="s">
        <v>44</v>
      </c>
      <c r="B51" s="9" t="s">
        <v>54</v>
      </c>
      <c r="C51" s="9" t="s">
        <v>87</v>
      </c>
      <c r="D51" s="10" t="s">
        <v>118</v>
      </c>
      <c r="E51" s="12">
        <v>15</v>
      </c>
      <c r="F51" s="28" t="s">
        <v>52</v>
      </c>
      <c r="G51" s="12">
        <f t="shared" si="2"/>
        <v>1.3333333333333333</v>
      </c>
      <c r="H51" s="17" t="s">
        <v>57</v>
      </c>
    </row>
    <row r="52" spans="1:8" x14ac:dyDescent="0.35">
      <c r="A52" s="8" t="s">
        <v>44</v>
      </c>
      <c r="B52" s="9" t="s">
        <v>54</v>
      </c>
      <c r="C52" s="9" t="s">
        <v>87</v>
      </c>
      <c r="D52" s="10" t="s">
        <v>119</v>
      </c>
      <c r="E52" s="12">
        <v>15</v>
      </c>
      <c r="F52" s="28" t="s">
        <v>52</v>
      </c>
      <c r="G52" s="12">
        <f t="shared" si="2"/>
        <v>1.3333333333333333</v>
      </c>
      <c r="H52" s="17" t="s">
        <v>57</v>
      </c>
    </row>
    <row r="53" spans="1:8" x14ac:dyDescent="0.35">
      <c r="A53" s="7" t="s">
        <v>44</v>
      </c>
      <c r="B53" s="7" t="s">
        <v>86</v>
      </c>
      <c r="C53" s="7" t="s">
        <v>87</v>
      </c>
      <c r="D53" s="21" t="s">
        <v>120</v>
      </c>
      <c r="E53" s="29">
        <v>16</v>
      </c>
      <c r="F53" s="7" t="s">
        <v>52</v>
      </c>
      <c r="G53" s="12">
        <f t="shared" si="2"/>
        <v>1.25</v>
      </c>
      <c r="H53" s="17" t="s">
        <v>62</v>
      </c>
    </row>
    <row r="54" spans="1:8" x14ac:dyDescent="0.35">
      <c r="A54" s="8" t="s">
        <v>44</v>
      </c>
      <c r="B54" s="9" t="s">
        <v>54</v>
      </c>
      <c r="C54" s="9" t="s">
        <v>87</v>
      </c>
      <c r="D54" s="10" t="s">
        <v>121</v>
      </c>
      <c r="E54" s="12">
        <v>15</v>
      </c>
      <c r="F54" s="28" t="s">
        <v>52</v>
      </c>
      <c r="G54" s="12">
        <f t="shared" si="2"/>
        <v>1.3333333333333333</v>
      </c>
      <c r="H54" s="17" t="s">
        <v>57</v>
      </c>
    </row>
    <row r="55" spans="1:8" x14ac:dyDescent="0.35">
      <c r="A55" s="8" t="s">
        <v>44</v>
      </c>
      <c r="B55" s="9" t="s">
        <v>54</v>
      </c>
      <c r="C55" s="9" t="s">
        <v>87</v>
      </c>
      <c r="D55" s="10" t="s">
        <v>122</v>
      </c>
      <c r="E55" s="12">
        <v>15</v>
      </c>
      <c r="F55" s="28" t="s">
        <v>52</v>
      </c>
      <c r="G55" s="12">
        <f t="shared" si="2"/>
        <v>1.3333333333333333</v>
      </c>
      <c r="H55" s="17" t="s">
        <v>57</v>
      </c>
    </row>
    <row r="56" spans="1:8" x14ac:dyDescent="0.35">
      <c r="A56" s="8" t="s">
        <v>44</v>
      </c>
      <c r="B56" s="9" t="s">
        <v>45</v>
      </c>
      <c r="C56" s="9" t="s">
        <v>87</v>
      </c>
      <c r="D56" s="10" t="s">
        <v>123</v>
      </c>
      <c r="E56" s="12">
        <v>15</v>
      </c>
      <c r="F56" s="28" t="s">
        <v>52</v>
      </c>
      <c r="G56" s="12">
        <f t="shared" si="2"/>
        <v>1.3333333333333333</v>
      </c>
      <c r="H56" s="17" t="s">
        <v>57</v>
      </c>
    </row>
    <row r="57" spans="1:8" x14ac:dyDescent="0.35">
      <c r="A57" s="8" t="s">
        <v>44</v>
      </c>
      <c r="B57" s="9" t="s">
        <v>54</v>
      </c>
      <c r="C57" s="9" t="s">
        <v>87</v>
      </c>
      <c r="D57" s="10" t="s">
        <v>124</v>
      </c>
      <c r="E57" s="12">
        <v>15</v>
      </c>
      <c r="F57" s="28" t="s">
        <v>52</v>
      </c>
      <c r="G57" s="12">
        <f t="shared" si="2"/>
        <v>1.3333333333333333</v>
      </c>
      <c r="H57" s="17" t="s">
        <v>57</v>
      </c>
    </row>
    <row r="58" spans="1:8" x14ac:dyDescent="0.35">
      <c r="A58" s="8" t="s">
        <v>44</v>
      </c>
      <c r="B58" s="9" t="s">
        <v>54</v>
      </c>
      <c r="C58" s="9" t="s">
        <v>87</v>
      </c>
      <c r="D58" s="10" t="s">
        <v>125</v>
      </c>
      <c r="E58" s="12">
        <v>15</v>
      </c>
      <c r="F58" s="28" t="s">
        <v>52</v>
      </c>
      <c r="G58" s="12">
        <f t="shared" si="2"/>
        <v>1.3333333333333333</v>
      </c>
      <c r="H58" s="17" t="s">
        <v>57</v>
      </c>
    </row>
    <row r="59" spans="1:8" x14ac:dyDescent="0.35">
      <c r="A59" s="8" t="s">
        <v>44</v>
      </c>
      <c r="B59" s="9" t="s">
        <v>54</v>
      </c>
      <c r="C59" s="9" t="s">
        <v>87</v>
      </c>
      <c r="D59" s="10" t="s">
        <v>126</v>
      </c>
      <c r="E59" s="12">
        <v>15</v>
      </c>
      <c r="F59" s="28" t="s">
        <v>61</v>
      </c>
      <c r="G59" s="12">
        <f t="shared" ref="G59" si="3">20/E59</f>
        <v>1.3333333333333333</v>
      </c>
      <c r="H59" s="17" t="s">
        <v>57</v>
      </c>
    </row>
    <row r="60" spans="1:8" x14ac:dyDescent="0.35">
      <c r="A60" s="8" t="s">
        <v>44</v>
      </c>
      <c r="B60" s="9" t="s">
        <v>54</v>
      </c>
      <c r="C60" s="9" t="s">
        <v>87</v>
      </c>
      <c r="D60" s="10" t="s">
        <v>127</v>
      </c>
      <c r="E60" s="12">
        <v>22.5</v>
      </c>
      <c r="F60" s="28" t="s">
        <v>61</v>
      </c>
      <c r="G60" s="12">
        <f t="shared" si="2"/>
        <v>0.88888888888888884</v>
      </c>
      <c r="H60" s="17" t="s">
        <v>57</v>
      </c>
    </row>
    <row r="61" spans="1:8" x14ac:dyDescent="0.35">
      <c r="A61" s="8" t="s">
        <v>44</v>
      </c>
      <c r="B61" s="9" t="s">
        <v>54</v>
      </c>
      <c r="C61" s="9" t="s">
        <v>87</v>
      </c>
      <c r="D61" s="10" t="s">
        <v>128</v>
      </c>
      <c r="E61" s="12">
        <v>15</v>
      </c>
      <c r="F61" s="28" t="s">
        <v>52</v>
      </c>
      <c r="G61" s="12">
        <f t="shared" si="2"/>
        <v>1.3333333333333333</v>
      </c>
      <c r="H61" s="17" t="s">
        <v>57</v>
      </c>
    </row>
    <row r="62" spans="1:8" x14ac:dyDescent="0.35">
      <c r="A62" s="8" t="s">
        <v>44</v>
      </c>
      <c r="B62" s="9" t="s">
        <v>54</v>
      </c>
      <c r="C62" s="9" t="s">
        <v>87</v>
      </c>
      <c r="D62" s="10" t="s">
        <v>129</v>
      </c>
      <c r="E62" s="12">
        <v>15</v>
      </c>
      <c r="F62" s="28" t="s">
        <v>52</v>
      </c>
      <c r="G62" s="12">
        <f t="shared" si="2"/>
        <v>1.3333333333333333</v>
      </c>
      <c r="H62" s="17" t="s">
        <v>57</v>
      </c>
    </row>
    <row r="63" spans="1:8" x14ac:dyDescent="0.35">
      <c r="A63" s="7" t="s">
        <v>44</v>
      </c>
      <c r="B63" s="7" t="s">
        <v>50</v>
      </c>
      <c r="C63" s="7" t="s">
        <v>87</v>
      </c>
      <c r="D63" s="21" t="s">
        <v>130</v>
      </c>
      <c r="E63" s="29">
        <v>15</v>
      </c>
      <c r="F63" s="7" t="s">
        <v>52</v>
      </c>
      <c r="G63" s="12">
        <f t="shared" si="2"/>
        <v>1.3333333333333333</v>
      </c>
      <c r="H63" s="17" t="s">
        <v>62</v>
      </c>
    </row>
    <row r="64" spans="1:8" x14ac:dyDescent="0.35">
      <c r="A64" s="8" t="s">
        <v>44</v>
      </c>
      <c r="B64" s="9" t="s">
        <v>54</v>
      </c>
      <c r="C64" s="9" t="s">
        <v>87</v>
      </c>
      <c r="D64" s="10" t="s">
        <v>131</v>
      </c>
      <c r="E64" s="12">
        <v>15</v>
      </c>
      <c r="F64" s="28" t="s">
        <v>52</v>
      </c>
      <c r="G64" s="12">
        <f t="shared" si="2"/>
        <v>1.3333333333333333</v>
      </c>
      <c r="H64" s="17" t="s">
        <v>57</v>
      </c>
    </row>
    <row r="65" spans="1:8" x14ac:dyDescent="0.35">
      <c r="A65" s="8" t="s">
        <v>44</v>
      </c>
      <c r="B65" s="9" t="s">
        <v>54</v>
      </c>
      <c r="C65" s="9" t="s">
        <v>87</v>
      </c>
      <c r="D65" s="10" t="s">
        <v>132</v>
      </c>
      <c r="E65" s="12">
        <v>15</v>
      </c>
      <c r="F65" s="28" t="s">
        <v>133</v>
      </c>
      <c r="G65" s="12">
        <f t="shared" si="2"/>
        <v>1.3333333333333333</v>
      </c>
      <c r="H65" s="17" t="s">
        <v>57</v>
      </c>
    </row>
    <row r="66" spans="1:8" x14ac:dyDescent="0.35">
      <c r="A66" s="8" t="s">
        <v>44</v>
      </c>
      <c r="B66" s="9" t="s">
        <v>54</v>
      </c>
      <c r="C66" s="9" t="s">
        <v>87</v>
      </c>
      <c r="D66" s="10" t="s">
        <v>134</v>
      </c>
      <c r="E66" s="12">
        <v>15</v>
      </c>
      <c r="F66" s="28" t="s">
        <v>52</v>
      </c>
      <c r="G66" s="12">
        <f t="shared" si="2"/>
        <v>1.3333333333333333</v>
      </c>
      <c r="H66" s="17" t="s">
        <v>57</v>
      </c>
    </row>
    <row r="67" spans="1:8" x14ac:dyDescent="0.35">
      <c r="A67" s="8" t="s">
        <v>44</v>
      </c>
      <c r="B67" s="9" t="s">
        <v>54</v>
      </c>
      <c r="C67" s="9" t="s">
        <v>87</v>
      </c>
      <c r="D67" s="10" t="s">
        <v>135</v>
      </c>
      <c r="E67" s="12">
        <v>15</v>
      </c>
      <c r="F67" s="28" t="s">
        <v>52</v>
      </c>
      <c r="G67" s="12">
        <f t="shared" si="2"/>
        <v>1.3333333333333333</v>
      </c>
      <c r="H67" s="17" t="s">
        <v>57</v>
      </c>
    </row>
    <row r="68" spans="1:8" x14ac:dyDescent="0.35">
      <c r="A68" s="8" t="s">
        <v>44</v>
      </c>
      <c r="B68" s="9" t="s">
        <v>136</v>
      </c>
      <c r="C68" s="9" t="s">
        <v>87</v>
      </c>
      <c r="D68" s="10" t="s">
        <v>137</v>
      </c>
      <c r="E68" s="12">
        <v>15</v>
      </c>
      <c r="F68" s="28" t="s">
        <v>52</v>
      </c>
      <c r="G68" s="12">
        <f t="shared" si="2"/>
        <v>1.3333333333333333</v>
      </c>
      <c r="H68" s="17" t="s">
        <v>57</v>
      </c>
    </row>
    <row r="69" spans="1:8" x14ac:dyDescent="0.35">
      <c r="A69" s="8" t="s">
        <v>44</v>
      </c>
      <c r="B69" s="9" t="s">
        <v>54</v>
      </c>
      <c r="C69" s="9" t="s">
        <v>87</v>
      </c>
      <c r="D69" s="10" t="s">
        <v>138</v>
      </c>
      <c r="E69" s="12">
        <v>15</v>
      </c>
      <c r="F69" s="28" t="s">
        <v>52</v>
      </c>
      <c r="G69" s="12">
        <f t="shared" ref="G69:G91" si="4">20/E69</f>
        <v>1.3333333333333333</v>
      </c>
      <c r="H69" s="17" t="s">
        <v>57</v>
      </c>
    </row>
    <row r="70" spans="1:8" x14ac:dyDescent="0.35">
      <c r="A70" s="8" t="s">
        <v>44</v>
      </c>
      <c r="B70" s="9" t="s">
        <v>54</v>
      </c>
      <c r="C70" s="9" t="s">
        <v>87</v>
      </c>
      <c r="D70" s="10" t="s">
        <v>139</v>
      </c>
      <c r="E70" s="12">
        <v>15</v>
      </c>
      <c r="F70" s="28" t="s">
        <v>52</v>
      </c>
      <c r="G70" s="12">
        <f t="shared" si="4"/>
        <v>1.3333333333333333</v>
      </c>
      <c r="H70" s="17" t="s">
        <v>57</v>
      </c>
    </row>
    <row r="71" spans="1:8" x14ac:dyDescent="0.35">
      <c r="A71" s="8" t="s">
        <v>44</v>
      </c>
      <c r="B71" s="9" t="s">
        <v>54</v>
      </c>
      <c r="C71" s="9" t="s">
        <v>87</v>
      </c>
      <c r="D71" s="10" t="s">
        <v>140</v>
      </c>
      <c r="E71" s="12">
        <v>15</v>
      </c>
      <c r="F71" s="28" t="s">
        <v>52</v>
      </c>
      <c r="G71" s="12">
        <f t="shared" si="4"/>
        <v>1.3333333333333333</v>
      </c>
      <c r="H71" s="17" t="s">
        <v>57</v>
      </c>
    </row>
    <row r="72" spans="1:8" x14ac:dyDescent="0.35">
      <c r="A72" s="16" t="s">
        <v>44</v>
      </c>
      <c r="B72" s="7" t="s">
        <v>45</v>
      </c>
      <c r="C72" s="7" t="s">
        <v>87</v>
      </c>
      <c r="D72" s="21" t="s">
        <v>141</v>
      </c>
      <c r="E72" s="20">
        <v>15</v>
      </c>
      <c r="F72" s="14" t="s">
        <v>142</v>
      </c>
      <c r="G72" s="12">
        <f t="shared" si="4"/>
        <v>1.3333333333333333</v>
      </c>
      <c r="H72" s="18" t="s">
        <v>49</v>
      </c>
    </row>
    <row r="73" spans="1:8" x14ac:dyDescent="0.35">
      <c r="A73" s="16" t="s">
        <v>44</v>
      </c>
      <c r="B73" s="7" t="s">
        <v>50</v>
      </c>
      <c r="C73" s="7" t="s">
        <v>87</v>
      </c>
      <c r="D73" s="21" t="s">
        <v>143</v>
      </c>
      <c r="E73" s="20">
        <v>14</v>
      </c>
      <c r="F73" s="14" t="s">
        <v>52</v>
      </c>
      <c r="G73" s="12">
        <f t="shared" si="4"/>
        <v>1.4285714285714286</v>
      </c>
      <c r="H73" s="17" t="s">
        <v>53</v>
      </c>
    </row>
    <row r="74" spans="1:8" x14ac:dyDescent="0.35">
      <c r="A74" s="8" t="s">
        <v>44</v>
      </c>
      <c r="B74" s="9" t="s">
        <v>54</v>
      </c>
      <c r="C74" s="9" t="s">
        <v>87</v>
      </c>
      <c r="D74" s="10" t="s">
        <v>144</v>
      </c>
      <c r="E74" s="12">
        <v>15</v>
      </c>
      <c r="F74" s="28" t="s">
        <v>133</v>
      </c>
      <c r="G74" s="12">
        <f t="shared" si="4"/>
        <v>1.3333333333333333</v>
      </c>
      <c r="H74" s="17" t="s">
        <v>57</v>
      </c>
    </row>
    <row r="75" spans="1:8" x14ac:dyDescent="0.35">
      <c r="A75" s="8" t="s">
        <v>44</v>
      </c>
      <c r="B75" s="9" t="s">
        <v>45</v>
      </c>
      <c r="C75" s="9" t="s">
        <v>87</v>
      </c>
      <c r="D75" s="10" t="s">
        <v>145</v>
      </c>
      <c r="E75" s="12">
        <v>15</v>
      </c>
      <c r="F75" s="28" t="s">
        <v>146</v>
      </c>
      <c r="G75" s="12">
        <f t="shared" si="4"/>
        <v>1.3333333333333333</v>
      </c>
      <c r="H75" s="17" t="s">
        <v>57</v>
      </c>
    </row>
    <row r="76" spans="1:8" x14ac:dyDescent="0.35">
      <c r="A76" s="8" t="s">
        <v>44</v>
      </c>
      <c r="B76" s="9" t="s">
        <v>54</v>
      </c>
      <c r="C76" s="9" t="s">
        <v>87</v>
      </c>
      <c r="D76" s="10" t="s">
        <v>147</v>
      </c>
      <c r="E76" s="12">
        <v>15</v>
      </c>
      <c r="F76" s="28" t="s">
        <v>52</v>
      </c>
      <c r="G76" s="12">
        <f t="shared" si="4"/>
        <v>1.3333333333333333</v>
      </c>
      <c r="H76" s="17" t="s">
        <v>57</v>
      </c>
    </row>
    <row r="77" spans="1:8" x14ac:dyDescent="0.35">
      <c r="A77" s="16" t="s">
        <v>44</v>
      </c>
      <c r="B77" s="7" t="s">
        <v>54</v>
      </c>
      <c r="C77" s="7" t="s">
        <v>87</v>
      </c>
      <c r="D77" s="21" t="s">
        <v>148</v>
      </c>
      <c r="E77" s="20">
        <v>22.5</v>
      </c>
      <c r="F77" s="14" t="s">
        <v>52</v>
      </c>
      <c r="G77" s="12">
        <f t="shared" si="4"/>
        <v>0.88888888888888884</v>
      </c>
      <c r="H77" s="17" t="s">
        <v>53</v>
      </c>
    </row>
    <row r="78" spans="1:8" x14ac:dyDescent="0.35">
      <c r="A78" s="8" t="s">
        <v>44</v>
      </c>
      <c r="B78" s="9" t="s">
        <v>54</v>
      </c>
      <c r="C78" s="9" t="s">
        <v>87</v>
      </c>
      <c r="D78" s="10" t="s">
        <v>149</v>
      </c>
      <c r="E78" s="12">
        <v>5</v>
      </c>
      <c r="F78" s="28" t="s">
        <v>150</v>
      </c>
      <c r="G78" s="12">
        <f t="shared" si="4"/>
        <v>4</v>
      </c>
      <c r="H78" s="17" t="s">
        <v>57</v>
      </c>
    </row>
    <row r="79" spans="1:8" x14ac:dyDescent="0.35">
      <c r="A79" s="8" t="s">
        <v>44</v>
      </c>
      <c r="B79" s="9" t="s">
        <v>50</v>
      </c>
      <c r="C79" s="9" t="s">
        <v>87</v>
      </c>
      <c r="D79" s="10" t="s">
        <v>149</v>
      </c>
      <c r="E79" s="12">
        <v>5</v>
      </c>
      <c r="F79" s="28" t="s">
        <v>151</v>
      </c>
      <c r="G79" s="12">
        <f t="shared" si="4"/>
        <v>4</v>
      </c>
      <c r="H79" s="17" t="s">
        <v>57</v>
      </c>
    </row>
    <row r="80" spans="1:8" x14ac:dyDescent="0.35">
      <c r="A80" s="8" t="s">
        <v>44</v>
      </c>
      <c r="B80" s="9" t="s">
        <v>54</v>
      </c>
      <c r="C80" s="9" t="s">
        <v>87</v>
      </c>
      <c r="D80" s="10" t="s">
        <v>152</v>
      </c>
      <c r="E80" s="12">
        <v>15</v>
      </c>
      <c r="F80" s="28" t="s">
        <v>133</v>
      </c>
      <c r="G80" s="12">
        <f t="shared" si="4"/>
        <v>1.3333333333333333</v>
      </c>
      <c r="H80" s="17" t="s">
        <v>57</v>
      </c>
    </row>
    <row r="81" spans="1:8" x14ac:dyDescent="0.35">
      <c r="A81" s="16" t="s">
        <v>44</v>
      </c>
      <c r="B81" s="7" t="s">
        <v>54</v>
      </c>
      <c r="C81" s="7" t="s">
        <v>87</v>
      </c>
      <c r="D81" s="21" t="s">
        <v>153</v>
      </c>
      <c r="E81" s="20">
        <v>15</v>
      </c>
      <c r="F81" s="14" t="s">
        <v>52</v>
      </c>
      <c r="G81" s="12">
        <f t="shared" si="4"/>
        <v>1.3333333333333333</v>
      </c>
      <c r="H81" s="17" t="s">
        <v>53</v>
      </c>
    </row>
    <row r="82" spans="1:8" x14ac:dyDescent="0.35">
      <c r="A82" s="8" t="s">
        <v>44</v>
      </c>
      <c r="B82" s="9" t="s">
        <v>54</v>
      </c>
      <c r="C82" s="9" t="s">
        <v>87</v>
      </c>
      <c r="D82" s="10" t="s">
        <v>154</v>
      </c>
      <c r="E82" s="12">
        <v>15</v>
      </c>
      <c r="F82" s="28" t="s">
        <v>59</v>
      </c>
      <c r="G82" s="12">
        <f t="shared" si="4"/>
        <v>1.3333333333333333</v>
      </c>
      <c r="H82" s="17" t="s">
        <v>57</v>
      </c>
    </row>
    <row r="83" spans="1:8" x14ac:dyDescent="0.35">
      <c r="A83" s="16" t="s">
        <v>44</v>
      </c>
      <c r="B83" s="7" t="s">
        <v>45</v>
      </c>
      <c r="C83" s="7" t="s">
        <v>87</v>
      </c>
      <c r="D83" s="21" t="s">
        <v>155</v>
      </c>
      <c r="E83" s="20">
        <v>12</v>
      </c>
      <c r="F83" s="31" t="s">
        <v>61</v>
      </c>
      <c r="G83" s="12">
        <f t="shared" si="4"/>
        <v>1.6666666666666667</v>
      </c>
      <c r="H83" s="17" t="s">
        <v>53</v>
      </c>
    </row>
    <row r="84" spans="1:8" x14ac:dyDescent="0.35">
      <c r="A84" s="8" t="s">
        <v>44</v>
      </c>
      <c r="B84" s="9" t="s">
        <v>54</v>
      </c>
      <c r="C84" s="9" t="s">
        <v>87</v>
      </c>
      <c r="D84" s="10" t="s">
        <v>156</v>
      </c>
      <c r="E84" s="12">
        <v>15</v>
      </c>
      <c r="F84" s="28" t="s">
        <v>52</v>
      </c>
      <c r="G84" s="12">
        <f t="shared" si="4"/>
        <v>1.3333333333333333</v>
      </c>
      <c r="H84" s="17" t="s">
        <v>57</v>
      </c>
    </row>
    <row r="85" spans="1:8" x14ac:dyDescent="0.35">
      <c r="A85" s="22" t="s">
        <v>44</v>
      </c>
      <c r="B85" s="7" t="s">
        <v>54</v>
      </c>
      <c r="C85" s="7" t="s">
        <v>87</v>
      </c>
      <c r="D85" s="21" t="s">
        <v>157</v>
      </c>
      <c r="E85" s="32">
        <v>22.5</v>
      </c>
      <c r="F85" s="14" t="s">
        <v>52</v>
      </c>
      <c r="G85" s="12">
        <f t="shared" si="4"/>
        <v>0.88888888888888884</v>
      </c>
      <c r="H85" s="17" t="s">
        <v>53</v>
      </c>
    </row>
    <row r="86" spans="1:8" x14ac:dyDescent="0.35">
      <c r="A86" s="8" t="s">
        <v>44</v>
      </c>
      <c r="B86" s="9" t="s">
        <v>54</v>
      </c>
      <c r="C86" s="9" t="s">
        <v>87</v>
      </c>
      <c r="D86" s="10" t="s">
        <v>158</v>
      </c>
      <c r="E86" s="12">
        <v>15</v>
      </c>
      <c r="F86" s="28" t="s">
        <v>52</v>
      </c>
      <c r="G86" s="12">
        <f t="shared" si="4"/>
        <v>1.3333333333333333</v>
      </c>
      <c r="H86" s="17" t="s">
        <v>57</v>
      </c>
    </row>
    <row r="87" spans="1:8" x14ac:dyDescent="0.35">
      <c r="A87" s="8" t="s">
        <v>44</v>
      </c>
      <c r="B87" s="9" t="s">
        <v>45</v>
      </c>
      <c r="C87" s="9" t="s">
        <v>87</v>
      </c>
      <c r="D87" s="10" t="s">
        <v>158</v>
      </c>
      <c r="E87" s="12">
        <v>15</v>
      </c>
      <c r="F87" s="28" t="s">
        <v>52</v>
      </c>
      <c r="G87" s="12">
        <f t="shared" si="4"/>
        <v>1.3333333333333333</v>
      </c>
      <c r="H87" s="17" t="s">
        <v>57</v>
      </c>
    </row>
    <row r="88" spans="1:8" x14ac:dyDescent="0.35">
      <c r="A88" s="7" t="s">
        <v>44</v>
      </c>
      <c r="B88" s="7" t="s">
        <v>50</v>
      </c>
      <c r="C88" s="7" t="s">
        <v>87</v>
      </c>
      <c r="D88" s="21" t="s">
        <v>159</v>
      </c>
      <c r="E88" s="29">
        <v>15</v>
      </c>
      <c r="F88" s="7" t="s">
        <v>52</v>
      </c>
      <c r="G88" s="12">
        <f t="shared" si="4"/>
        <v>1.3333333333333333</v>
      </c>
      <c r="H88" s="17" t="s">
        <v>62</v>
      </c>
    </row>
    <row r="89" spans="1:8" x14ac:dyDescent="0.35">
      <c r="A89" s="7" t="s">
        <v>44</v>
      </c>
      <c r="B89" s="7" t="s">
        <v>86</v>
      </c>
      <c r="C89" s="7" t="s">
        <v>87</v>
      </c>
      <c r="D89" s="21" t="s">
        <v>449</v>
      </c>
      <c r="E89" s="29">
        <v>4</v>
      </c>
      <c r="F89" s="7" t="s">
        <v>52</v>
      </c>
      <c r="G89" s="12">
        <f t="shared" ref="G89" si="5">20/E89</f>
        <v>5</v>
      </c>
      <c r="H89" s="17" t="s">
        <v>62</v>
      </c>
    </row>
    <row r="90" spans="1:8" x14ac:dyDescent="0.35">
      <c r="A90" s="7" t="s">
        <v>44</v>
      </c>
      <c r="B90" s="7" t="s">
        <v>86</v>
      </c>
      <c r="C90" s="7" t="s">
        <v>87</v>
      </c>
      <c r="D90" s="21" t="s">
        <v>160</v>
      </c>
      <c r="E90" s="29">
        <v>4</v>
      </c>
      <c r="F90" s="7" t="s">
        <v>52</v>
      </c>
      <c r="G90" s="12">
        <f t="shared" si="4"/>
        <v>5</v>
      </c>
      <c r="H90" s="17" t="s">
        <v>62</v>
      </c>
    </row>
    <row r="91" spans="1:8" x14ac:dyDescent="0.35">
      <c r="A91" s="8" t="s">
        <v>161</v>
      </c>
      <c r="B91" s="9" t="s">
        <v>54</v>
      </c>
      <c r="C91" s="9" t="s">
        <v>162</v>
      </c>
      <c r="D91" s="10" t="s">
        <v>163</v>
      </c>
      <c r="E91" s="12">
        <v>24</v>
      </c>
      <c r="F91" s="28" t="s">
        <v>61</v>
      </c>
      <c r="G91" s="12">
        <f t="shared" si="4"/>
        <v>0.83333333333333337</v>
      </c>
      <c r="H91" s="17" t="s">
        <v>57</v>
      </c>
    </row>
    <row r="92" spans="1:8" x14ac:dyDescent="0.35">
      <c r="A92" s="8" t="s">
        <v>161</v>
      </c>
      <c r="B92" s="9" t="s">
        <v>45</v>
      </c>
      <c r="C92" s="9" t="s">
        <v>162</v>
      </c>
      <c r="D92" s="10" t="s">
        <v>163</v>
      </c>
      <c r="E92" s="12">
        <v>24</v>
      </c>
      <c r="F92" s="28" t="s">
        <v>61</v>
      </c>
      <c r="G92" s="12">
        <v>0.83333333333333337</v>
      </c>
      <c r="H92" s="17" t="s">
        <v>57</v>
      </c>
    </row>
    <row r="93" spans="1:8" x14ac:dyDescent="0.35">
      <c r="A93" s="7" t="s">
        <v>161</v>
      </c>
      <c r="B93" s="7" t="s">
        <v>98</v>
      </c>
      <c r="C93" s="7" t="s">
        <v>162</v>
      </c>
      <c r="D93" s="21" t="s">
        <v>164</v>
      </c>
      <c r="E93" s="29">
        <v>60</v>
      </c>
      <c r="F93" s="7" t="s">
        <v>52</v>
      </c>
      <c r="G93" s="12">
        <f>20/E93</f>
        <v>0.33333333333333331</v>
      </c>
      <c r="H93" s="17" t="s">
        <v>62</v>
      </c>
    </row>
    <row r="94" spans="1:8" x14ac:dyDescent="0.35">
      <c r="A94" s="8" t="s">
        <v>161</v>
      </c>
      <c r="B94" s="9" t="s">
        <v>54</v>
      </c>
      <c r="C94" s="9" t="s">
        <v>162</v>
      </c>
      <c r="D94" s="10" t="s">
        <v>165</v>
      </c>
      <c r="E94" s="12">
        <v>24</v>
      </c>
      <c r="F94" s="28" t="s">
        <v>52</v>
      </c>
      <c r="G94" s="12">
        <f>20/E94</f>
        <v>0.83333333333333337</v>
      </c>
      <c r="H94" s="17" t="s">
        <v>57</v>
      </c>
    </row>
    <row r="95" spans="1:8" x14ac:dyDescent="0.35">
      <c r="A95" s="8" t="s">
        <v>161</v>
      </c>
      <c r="B95" s="9" t="s">
        <v>45</v>
      </c>
      <c r="C95" s="9" t="s">
        <v>162</v>
      </c>
      <c r="D95" s="10" t="s">
        <v>165</v>
      </c>
      <c r="E95" s="12">
        <v>24</v>
      </c>
      <c r="F95" s="28" t="s">
        <v>52</v>
      </c>
      <c r="G95" s="12">
        <v>0.83333333333333337</v>
      </c>
      <c r="H95" s="17" t="s">
        <v>57</v>
      </c>
    </row>
    <row r="96" spans="1:8" x14ac:dyDescent="0.35">
      <c r="A96" s="16" t="s">
        <v>161</v>
      </c>
      <c r="B96" s="7" t="s">
        <v>45</v>
      </c>
      <c r="C96" s="7" t="s">
        <v>162</v>
      </c>
      <c r="D96" s="21" t="s">
        <v>166</v>
      </c>
      <c r="E96" s="24">
        <v>48</v>
      </c>
      <c r="F96" s="14" t="s">
        <v>167</v>
      </c>
      <c r="G96" s="12">
        <f>20/E96</f>
        <v>0.41666666666666669</v>
      </c>
      <c r="H96" s="18" t="s">
        <v>49</v>
      </c>
    </row>
    <row r="97" spans="1:8" x14ac:dyDescent="0.35">
      <c r="A97" s="8" t="s">
        <v>161</v>
      </c>
      <c r="B97" s="9" t="s">
        <v>54</v>
      </c>
      <c r="C97" s="9" t="s">
        <v>162</v>
      </c>
      <c r="D97" s="10" t="s">
        <v>168</v>
      </c>
      <c r="E97" s="12">
        <v>24</v>
      </c>
      <c r="F97" s="28" t="s">
        <v>61</v>
      </c>
      <c r="G97" s="12">
        <f>20/E97</f>
        <v>0.83333333333333337</v>
      </c>
      <c r="H97" s="17" t="s">
        <v>62</v>
      </c>
    </row>
    <row r="98" spans="1:8" x14ac:dyDescent="0.35">
      <c r="A98" s="8" t="s">
        <v>161</v>
      </c>
      <c r="B98" s="9" t="s">
        <v>54</v>
      </c>
      <c r="C98" s="9" t="s">
        <v>162</v>
      </c>
      <c r="D98" s="10" t="s">
        <v>169</v>
      </c>
      <c r="E98" s="12">
        <v>50</v>
      </c>
      <c r="F98" s="28" t="s">
        <v>170</v>
      </c>
      <c r="G98" s="12">
        <f>20/E98</f>
        <v>0.4</v>
      </c>
      <c r="H98" s="17" t="s">
        <v>57</v>
      </c>
    </row>
    <row r="99" spans="1:8" x14ac:dyDescent="0.35">
      <c r="A99" s="8" t="s">
        <v>161</v>
      </c>
      <c r="B99" s="9" t="s">
        <v>45</v>
      </c>
      <c r="C99" s="9" t="s">
        <v>162</v>
      </c>
      <c r="D99" s="10" t="s">
        <v>169</v>
      </c>
      <c r="E99" s="12">
        <v>50</v>
      </c>
      <c r="F99" s="28" t="s">
        <v>170</v>
      </c>
      <c r="G99" s="12">
        <v>0.4</v>
      </c>
      <c r="H99" s="17" t="s">
        <v>57</v>
      </c>
    </row>
    <row r="100" spans="1:8" x14ac:dyDescent="0.35">
      <c r="A100" s="7" t="s">
        <v>161</v>
      </c>
      <c r="B100" s="7" t="s">
        <v>98</v>
      </c>
      <c r="C100" s="7" t="s">
        <v>162</v>
      </c>
      <c r="D100" s="21" t="s">
        <v>171</v>
      </c>
      <c r="E100" s="29">
        <v>40</v>
      </c>
      <c r="F100" s="7" t="s">
        <v>61</v>
      </c>
      <c r="G100" s="12">
        <f t="shared" ref="G100:G133" si="6">20/E100</f>
        <v>0.5</v>
      </c>
      <c r="H100" s="17" t="s">
        <v>62</v>
      </c>
    </row>
    <row r="101" spans="1:8" x14ac:dyDescent="0.35">
      <c r="A101" s="8" t="s">
        <v>161</v>
      </c>
      <c r="B101" s="9" t="s">
        <v>54</v>
      </c>
      <c r="C101" s="9" t="s">
        <v>162</v>
      </c>
      <c r="D101" s="10" t="s">
        <v>172</v>
      </c>
      <c r="E101" s="12">
        <v>8</v>
      </c>
      <c r="F101" s="28" t="s">
        <v>61</v>
      </c>
      <c r="G101" s="12">
        <f t="shared" si="6"/>
        <v>2.5</v>
      </c>
      <c r="H101" s="17" t="s">
        <v>57</v>
      </c>
    </row>
    <row r="102" spans="1:8" x14ac:dyDescent="0.35">
      <c r="A102" s="8" t="s">
        <v>161</v>
      </c>
      <c r="B102" s="9" t="s">
        <v>54</v>
      </c>
      <c r="C102" s="9" t="s">
        <v>162</v>
      </c>
      <c r="D102" s="10" t="s">
        <v>173</v>
      </c>
      <c r="E102" s="12">
        <v>24</v>
      </c>
      <c r="F102" s="28" t="s">
        <v>174</v>
      </c>
      <c r="G102" s="12">
        <f t="shared" si="6"/>
        <v>0.83333333333333337</v>
      </c>
      <c r="H102" s="17" t="s">
        <v>57</v>
      </c>
    </row>
    <row r="103" spans="1:8" x14ac:dyDescent="0.35">
      <c r="A103" s="8" t="s">
        <v>161</v>
      </c>
      <c r="B103" s="9" t="s">
        <v>54</v>
      </c>
      <c r="C103" s="9" t="s">
        <v>162</v>
      </c>
      <c r="D103" s="10" t="s">
        <v>175</v>
      </c>
      <c r="E103" s="12">
        <v>24</v>
      </c>
      <c r="F103" s="28" t="s">
        <v>52</v>
      </c>
      <c r="G103" s="12">
        <f t="shared" si="6"/>
        <v>0.83333333333333337</v>
      </c>
      <c r="H103" s="17" t="s">
        <v>57</v>
      </c>
    </row>
    <row r="104" spans="1:8" x14ac:dyDescent="0.35">
      <c r="A104" s="16" t="s">
        <v>161</v>
      </c>
      <c r="B104" s="23" t="s">
        <v>54</v>
      </c>
      <c r="C104" s="23" t="s">
        <v>162</v>
      </c>
      <c r="D104" s="27" t="s">
        <v>176</v>
      </c>
      <c r="E104" s="20">
        <v>24</v>
      </c>
      <c r="F104" s="14" t="s">
        <v>52</v>
      </c>
      <c r="G104" s="12">
        <f t="shared" si="6"/>
        <v>0.83333333333333337</v>
      </c>
      <c r="H104" s="17" t="s">
        <v>53</v>
      </c>
    </row>
    <row r="105" spans="1:8" x14ac:dyDescent="0.35">
      <c r="A105" s="16" t="s">
        <v>161</v>
      </c>
      <c r="B105" s="23" t="s">
        <v>45</v>
      </c>
      <c r="C105" s="23" t="s">
        <v>162</v>
      </c>
      <c r="D105" s="27" t="s">
        <v>176</v>
      </c>
      <c r="E105" s="20">
        <v>24</v>
      </c>
      <c r="F105" s="14" t="s">
        <v>52</v>
      </c>
      <c r="G105" s="12">
        <f t="shared" si="6"/>
        <v>0.83333333333333337</v>
      </c>
      <c r="H105" s="17" t="s">
        <v>53</v>
      </c>
    </row>
    <row r="106" spans="1:8" x14ac:dyDescent="0.35">
      <c r="A106" s="8" t="s">
        <v>161</v>
      </c>
      <c r="B106" s="9" t="s">
        <v>45</v>
      </c>
      <c r="C106" s="9" t="s">
        <v>177</v>
      </c>
      <c r="D106" s="10" t="s">
        <v>178</v>
      </c>
      <c r="E106" s="12">
        <v>13</v>
      </c>
      <c r="F106" s="28" t="s">
        <v>52</v>
      </c>
      <c r="G106" s="12">
        <f t="shared" si="6"/>
        <v>1.5384615384615385</v>
      </c>
      <c r="H106" s="17" t="s">
        <v>179</v>
      </c>
    </row>
    <row r="107" spans="1:8" x14ac:dyDescent="0.35">
      <c r="A107" s="8" t="s">
        <v>161</v>
      </c>
      <c r="B107" s="9" t="s">
        <v>136</v>
      </c>
      <c r="C107" s="9" t="s">
        <v>177</v>
      </c>
      <c r="D107" s="10" t="s">
        <v>178</v>
      </c>
      <c r="E107" s="12">
        <v>13</v>
      </c>
      <c r="F107" s="28" t="s">
        <v>52</v>
      </c>
      <c r="G107" s="12">
        <f t="shared" si="6"/>
        <v>1.5384615384615385</v>
      </c>
      <c r="H107" s="17" t="s">
        <v>179</v>
      </c>
    </row>
    <row r="108" spans="1:8" x14ac:dyDescent="0.35">
      <c r="A108" s="8" t="s">
        <v>161</v>
      </c>
      <c r="B108" s="9" t="s">
        <v>86</v>
      </c>
      <c r="C108" s="9" t="s">
        <v>177</v>
      </c>
      <c r="D108" s="10" t="s">
        <v>180</v>
      </c>
      <c r="E108" s="12">
        <v>13</v>
      </c>
      <c r="F108" s="28" t="s">
        <v>52</v>
      </c>
      <c r="G108" s="12">
        <f t="shared" si="6"/>
        <v>1.5384615384615385</v>
      </c>
      <c r="H108" s="17" t="s">
        <v>179</v>
      </c>
    </row>
    <row r="109" spans="1:8" x14ac:dyDescent="0.35">
      <c r="A109" s="8" t="s">
        <v>161</v>
      </c>
      <c r="B109" s="9" t="s">
        <v>45</v>
      </c>
      <c r="C109" s="9" t="s">
        <v>177</v>
      </c>
      <c r="D109" s="10" t="s">
        <v>181</v>
      </c>
      <c r="E109" s="12">
        <v>13</v>
      </c>
      <c r="F109" s="28" t="s">
        <v>52</v>
      </c>
      <c r="G109" s="12">
        <f t="shared" si="6"/>
        <v>1.5384615384615385</v>
      </c>
      <c r="H109" s="17" t="s">
        <v>179</v>
      </c>
    </row>
    <row r="110" spans="1:8" x14ac:dyDescent="0.35">
      <c r="A110" s="8" t="s">
        <v>161</v>
      </c>
      <c r="B110" s="9" t="s">
        <v>50</v>
      </c>
      <c r="C110" s="9" t="s">
        <v>177</v>
      </c>
      <c r="D110" s="10" t="s">
        <v>182</v>
      </c>
      <c r="E110" s="12">
        <v>13</v>
      </c>
      <c r="F110" s="28" t="s">
        <v>52</v>
      </c>
      <c r="G110" s="12">
        <f t="shared" si="6"/>
        <v>1.5384615384615385</v>
      </c>
      <c r="H110" s="17" t="s">
        <v>179</v>
      </c>
    </row>
    <row r="111" spans="1:8" x14ac:dyDescent="0.35">
      <c r="A111" s="8" t="s">
        <v>161</v>
      </c>
      <c r="B111" s="9" t="s">
        <v>45</v>
      </c>
      <c r="C111" s="9" t="s">
        <v>177</v>
      </c>
      <c r="D111" s="10" t="s">
        <v>183</v>
      </c>
      <c r="E111" s="12">
        <v>13</v>
      </c>
      <c r="F111" s="28" t="s">
        <v>52</v>
      </c>
      <c r="G111" s="12">
        <f t="shared" si="6"/>
        <v>1.5384615384615385</v>
      </c>
      <c r="H111" s="17" t="s">
        <v>179</v>
      </c>
    </row>
    <row r="112" spans="1:8" x14ac:dyDescent="0.35">
      <c r="A112" s="8" t="s">
        <v>161</v>
      </c>
      <c r="B112" s="9" t="s">
        <v>54</v>
      </c>
      <c r="C112" s="9" t="s">
        <v>177</v>
      </c>
      <c r="D112" s="10" t="s">
        <v>450</v>
      </c>
      <c r="E112" s="12">
        <v>13</v>
      </c>
      <c r="F112" s="28" t="s">
        <v>52</v>
      </c>
      <c r="G112" s="12">
        <f t="shared" ref="G112" si="7">20/E112</f>
        <v>1.5384615384615385</v>
      </c>
      <c r="H112" s="17" t="s">
        <v>179</v>
      </c>
    </row>
    <row r="113" spans="1:8" x14ac:dyDescent="0.35">
      <c r="A113" s="8" t="s">
        <v>161</v>
      </c>
      <c r="B113" s="9" t="s">
        <v>45</v>
      </c>
      <c r="C113" s="9" t="s">
        <v>177</v>
      </c>
      <c r="D113" s="10" t="s">
        <v>184</v>
      </c>
      <c r="E113" s="12">
        <v>13</v>
      </c>
      <c r="F113" s="28" t="s">
        <v>52</v>
      </c>
      <c r="G113" s="12">
        <f t="shared" si="6"/>
        <v>1.5384615384615385</v>
      </c>
      <c r="H113" s="17" t="s">
        <v>179</v>
      </c>
    </row>
    <row r="114" spans="1:8" x14ac:dyDescent="0.35">
      <c r="A114" s="8" t="s">
        <v>161</v>
      </c>
      <c r="B114" s="9" t="s">
        <v>54</v>
      </c>
      <c r="C114" s="9" t="s">
        <v>177</v>
      </c>
      <c r="D114" s="10" t="s">
        <v>185</v>
      </c>
      <c r="E114" s="12">
        <v>13</v>
      </c>
      <c r="F114" s="28" t="s">
        <v>52</v>
      </c>
      <c r="G114" s="12">
        <f t="shared" si="6"/>
        <v>1.5384615384615385</v>
      </c>
      <c r="H114" s="17" t="s">
        <v>179</v>
      </c>
    </row>
    <row r="115" spans="1:8" x14ac:dyDescent="0.35">
      <c r="A115" s="8" t="s">
        <v>161</v>
      </c>
      <c r="B115" s="9" t="s">
        <v>54</v>
      </c>
      <c r="C115" s="9" t="s">
        <v>177</v>
      </c>
      <c r="D115" s="10" t="s">
        <v>186</v>
      </c>
      <c r="E115" s="12">
        <v>13</v>
      </c>
      <c r="F115" s="28" t="s">
        <v>52</v>
      </c>
      <c r="G115" s="12">
        <f t="shared" si="6"/>
        <v>1.5384615384615385</v>
      </c>
      <c r="H115" s="17" t="s">
        <v>179</v>
      </c>
    </row>
    <row r="116" spans="1:8" x14ac:dyDescent="0.35">
      <c r="A116" s="8" t="s">
        <v>161</v>
      </c>
      <c r="B116" s="9" t="s">
        <v>54</v>
      </c>
      <c r="C116" s="9" t="s">
        <v>177</v>
      </c>
      <c r="D116" s="10" t="s">
        <v>187</v>
      </c>
      <c r="E116" s="12">
        <v>13</v>
      </c>
      <c r="F116" s="28" t="s">
        <v>52</v>
      </c>
      <c r="G116" s="12">
        <f t="shared" si="6"/>
        <v>1.5384615384615385</v>
      </c>
      <c r="H116" s="17" t="s">
        <v>179</v>
      </c>
    </row>
    <row r="117" spans="1:8" x14ac:dyDescent="0.35">
      <c r="A117" s="8" t="s">
        <v>161</v>
      </c>
      <c r="B117" s="9" t="s">
        <v>54</v>
      </c>
      <c r="C117" s="9" t="s">
        <v>177</v>
      </c>
      <c r="D117" s="10" t="s">
        <v>180</v>
      </c>
      <c r="E117" s="12">
        <v>13</v>
      </c>
      <c r="F117" s="28" t="s">
        <v>52</v>
      </c>
      <c r="G117" s="12">
        <f t="shared" si="6"/>
        <v>1.5384615384615385</v>
      </c>
      <c r="H117" s="17" t="s">
        <v>179</v>
      </c>
    </row>
    <row r="118" spans="1:8" x14ac:dyDescent="0.35">
      <c r="A118" s="8" t="s">
        <v>161</v>
      </c>
      <c r="B118" s="9" t="s">
        <v>54</v>
      </c>
      <c r="C118" s="9" t="s">
        <v>177</v>
      </c>
      <c r="D118" s="10" t="s">
        <v>188</v>
      </c>
      <c r="E118" s="12">
        <v>13</v>
      </c>
      <c r="F118" s="28" t="s">
        <v>52</v>
      </c>
      <c r="G118" s="12">
        <f t="shared" si="6"/>
        <v>1.5384615384615385</v>
      </c>
      <c r="H118" s="17" t="s">
        <v>179</v>
      </c>
    </row>
    <row r="119" spans="1:8" x14ac:dyDescent="0.35">
      <c r="A119" s="8" t="s">
        <v>161</v>
      </c>
      <c r="B119" s="9" t="s">
        <v>50</v>
      </c>
      <c r="C119" s="9" t="s">
        <v>177</v>
      </c>
      <c r="D119" s="10" t="s">
        <v>189</v>
      </c>
      <c r="E119" s="12">
        <v>13</v>
      </c>
      <c r="F119" s="28" t="s">
        <v>52</v>
      </c>
      <c r="G119" s="12">
        <f t="shared" si="6"/>
        <v>1.5384615384615385</v>
      </c>
      <c r="H119" s="17" t="s">
        <v>179</v>
      </c>
    </row>
    <row r="120" spans="1:8" x14ac:dyDescent="0.35">
      <c r="A120" s="8" t="s">
        <v>161</v>
      </c>
      <c r="B120" s="9" t="s">
        <v>54</v>
      </c>
      <c r="C120" s="9" t="s">
        <v>177</v>
      </c>
      <c r="D120" s="10" t="s">
        <v>190</v>
      </c>
      <c r="E120" s="12">
        <v>13</v>
      </c>
      <c r="F120" s="28" t="s">
        <v>52</v>
      </c>
      <c r="G120" s="12">
        <f t="shared" si="6"/>
        <v>1.5384615384615385</v>
      </c>
      <c r="H120" s="17" t="s">
        <v>179</v>
      </c>
    </row>
    <row r="121" spans="1:8" x14ac:dyDescent="0.35">
      <c r="A121" s="8" t="s">
        <v>161</v>
      </c>
      <c r="B121" s="9" t="s">
        <v>54</v>
      </c>
      <c r="C121" s="9" t="s">
        <v>177</v>
      </c>
      <c r="D121" s="10" t="s">
        <v>191</v>
      </c>
      <c r="E121" s="12">
        <v>13</v>
      </c>
      <c r="F121" s="28" t="s">
        <v>52</v>
      </c>
      <c r="G121" s="12">
        <f t="shared" si="6"/>
        <v>1.5384615384615385</v>
      </c>
      <c r="H121" s="17" t="s">
        <v>179</v>
      </c>
    </row>
    <row r="122" spans="1:8" x14ac:dyDescent="0.35">
      <c r="A122" s="8" t="s">
        <v>161</v>
      </c>
      <c r="B122" s="9" t="s">
        <v>54</v>
      </c>
      <c r="C122" s="9" t="s">
        <v>177</v>
      </c>
      <c r="D122" s="10" t="s">
        <v>192</v>
      </c>
      <c r="E122" s="12">
        <v>13</v>
      </c>
      <c r="F122" s="28" t="s">
        <v>52</v>
      </c>
      <c r="G122" s="12">
        <f t="shared" si="6"/>
        <v>1.5384615384615385</v>
      </c>
      <c r="H122" s="17" t="s">
        <v>179</v>
      </c>
    </row>
    <row r="123" spans="1:8" x14ac:dyDescent="0.35">
      <c r="A123" s="8" t="s">
        <v>161</v>
      </c>
      <c r="B123" s="9" t="s">
        <v>54</v>
      </c>
      <c r="C123" s="9" t="s">
        <v>193</v>
      </c>
      <c r="D123" s="10" t="s">
        <v>194</v>
      </c>
      <c r="E123" s="12">
        <v>15</v>
      </c>
      <c r="F123" s="28" t="s">
        <v>195</v>
      </c>
      <c r="G123" s="12">
        <f t="shared" si="6"/>
        <v>1.3333333333333333</v>
      </c>
      <c r="H123" s="17" t="s">
        <v>57</v>
      </c>
    </row>
    <row r="124" spans="1:8" x14ac:dyDescent="0.35">
      <c r="A124" s="8" t="s">
        <v>161</v>
      </c>
      <c r="B124" s="9" t="s">
        <v>45</v>
      </c>
      <c r="C124" s="9" t="s">
        <v>193</v>
      </c>
      <c r="D124" s="10" t="s">
        <v>194</v>
      </c>
      <c r="E124" s="12">
        <v>15</v>
      </c>
      <c r="F124" s="28" t="s">
        <v>195</v>
      </c>
      <c r="G124" s="12">
        <f t="shared" si="6"/>
        <v>1.3333333333333333</v>
      </c>
      <c r="H124" s="17" t="s">
        <v>57</v>
      </c>
    </row>
    <row r="125" spans="1:8" x14ac:dyDescent="0.35">
      <c r="A125" s="8" t="s">
        <v>161</v>
      </c>
      <c r="B125" s="9" t="s">
        <v>98</v>
      </c>
      <c r="C125" s="9" t="s">
        <v>193</v>
      </c>
      <c r="D125" s="10" t="s">
        <v>194</v>
      </c>
      <c r="E125" s="12">
        <v>15</v>
      </c>
      <c r="F125" s="28" t="s">
        <v>195</v>
      </c>
      <c r="G125" s="12">
        <f t="shared" si="6"/>
        <v>1.3333333333333333</v>
      </c>
      <c r="H125" s="17" t="s">
        <v>57</v>
      </c>
    </row>
    <row r="126" spans="1:8" x14ac:dyDescent="0.35">
      <c r="A126" s="8" t="s">
        <v>161</v>
      </c>
      <c r="B126" s="9" t="s">
        <v>54</v>
      </c>
      <c r="C126" s="9" t="s">
        <v>193</v>
      </c>
      <c r="D126" s="11" t="s">
        <v>196</v>
      </c>
      <c r="E126" s="12">
        <v>15</v>
      </c>
      <c r="F126" s="28" t="s">
        <v>52</v>
      </c>
      <c r="G126" s="12">
        <f t="shared" si="6"/>
        <v>1.3333333333333333</v>
      </c>
      <c r="H126" s="17" t="s">
        <v>57</v>
      </c>
    </row>
    <row r="127" spans="1:8" x14ac:dyDescent="0.35">
      <c r="A127" s="8" t="s">
        <v>161</v>
      </c>
      <c r="B127" s="9" t="s">
        <v>98</v>
      </c>
      <c r="C127" s="9" t="s">
        <v>193</v>
      </c>
      <c r="D127" s="11" t="s">
        <v>196</v>
      </c>
      <c r="E127" s="12">
        <v>15</v>
      </c>
      <c r="F127" s="28" t="s">
        <v>52</v>
      </c>
      <c r="G127" s="12">
        <f t="shared" si="6"/>
        <v>1.3333333333333333</v>
      </c>
      <c r="H127" s="17" t="s">
        <v>57</v>
      </c>
    </row>
    <row r="128" spans="1:8" x14ac:dyDescent="0.35">
      <c r="A128" s="8" t="s">
        <v>161</v>
      </c>
      <c r="B128" s="9" t="s">
        <v>45</v>
      </c>
      <c r="C128" s="9" t="s">
        <v>193</v>
      </c>
      <c r="D128" s="10" t="s">
        <v>197</v>
      </c>
      <c r="E128" s="12">
        <v>15</v>
      </c>
      <c r="F128" s="28" t="s">
        <v>52</v>
      </c>
      <c r="G128" s="12">
        <f t="shared" si="6"/>
        <v>1.3333333333333333</v>
      </c>
      <c r="H128" s="17" t="s">
        <v>57</v>
      </c>
    </row>
    <row r="129" spans="1:8" x14ac:dyDescent="0.35">
      <c r="A129" s="8" t="s">
        <v>161</v>
      </c>
      <c r="B129" s="9" t="s">
        <v>54</v>
      </c>
      <c r="C129" s="9" t="s">
        <v>193</v>
      </c>
      <c r="D129" s="10" t="s">
        <v>198</v>
      </c>
      <c r="E129" s="12">
        <v>15</v>
      </c>
      <c r="F129" s="28" t="s">
        <v>199</v>
      </c>
      <c r="G129" s="12">
        <f t="shared" si="6"/>
        <v>1.3333333333333333</v>
      </c>
      <c r="H129" s="17" t="s">
        <v>57</v>
      </c>
    </row>
    <row r="130" spans="1:8" x14ac:dyDescent="0.35">
      <c r="A130" s="8" t="s">
        <v>161</v>
      </c>
      <c r="B130" s="9" t="s">
        <v>50</v>
      </c>
      <c r="C130" s="9" t="s">
        <v>193</v>
      </c>
      <c r="D130" s="10" t="s">
        <v>200</v>
      </c>
      <c r="E130" s="12">
        <v>15</v>
      </c>
      <c r="F130" s="28" t="s">
        <v>52</v>
      </c>
      <c r="G130" s="12">
        <f t="shared" ref="G130" si="8">20/E130</f>
        <v>1.3333333333333333</v>
      </c>
      <c r="H130" s="17" t="s">
        <v>57</v>
      </c>
    </row>
    <row r="131" spans="1:8" x14ac:dyDescent="0.35">
      <c r="A131" s="8" t="s">
        <v>161</v>
      </c>
      <c r="B131" s="9" t="s">
        <v>98</v>
      </c>
      <c r="C131" s="9" t="s">
        <v>193</v>
      </c>
      <c r="D131" s="10" t="s">
        <v>200</v>
      </c>
      <c r="E131" s="12">
        <v>15</v>
      </c>
      <c r="F131" s="28" t="s">
        <v>52</v>
      </c>
      <c r="G131" s="12">
        <f t="shared" ref="G131" si="9">20/E131</f>
        <v>1.3333333333333333</v>
      </c>
      <c r="H131" s="17" t="s">
        <v>57</v>
      </c>
    </row>
    <row r="132" spans="1:8" ht="25" x14ac:dyDescent="0.35">
      <c r="A132" s="8" t="s">
        <v>161</v>
      </c>
      <c r="B132" s="9" t="s">
        <v>45</v>
      </c>
      <c r="C132" s="9" t="s">
        <v>193</v>
      </c>
      <c r="D132" s="10" t="s">
        <v>201</v>
      </c>
      <c r="E132" s="12">
        <v>15</v>
      </c>
      <c r="F132" s="28" t="s">
        <v>52</v>
      </c>
      <c r="G132" s="12">
        <f t="shared" si="6"/>
        <v>1.3333333333333333</v>
      </c>
      <c r="H132" s="17" t="s">
        <v>57</v>
      </c>
    </row>
    <row r="133" spans="1:8" x14ac:dyDescent="0.35">
      <c r="A133" s="8" t="s">
        <v>161</v>
      </c>
      <c r="B133" s="9" t="s">
        <v>202</v>
      </c>
      <c r="C133" s="9" t="s">
        <v>193</v>
      </c>
      <c r="D133" s="10" t="s">
        <v>203</v>
      </c>
      <c r="E133" s="12">
        <v>15</v>
      </c>
      <c r="F133" s="28" t="s">
        <v>52</v>
      </c>
      <c r="G133" s="12">
        <f t="shared" si="6"/>
        <v>1.3333333333333333</v>
      </c>
      <c r="H133" s="17" t="s">
        <v>57</v>
      </c>
    </row>
    <row r="134" spans="1:8" x14ac:dyDescent="0.35">
      <c r="A134" s="8" t="s">
        <v>161</v>
      </c>
      <c r="B134" s="9" t="s">
        <v>54</v>
      </c>
      <c r="C134" s="9" t="s">
        <v>193</v>
      </c>
      <c r="D134" s="10" t="s">
        <v>204</v>
      </c>
      <c r="E134" s="12">
        <v>30</v>
      </c>
      <c r="F134" s="28" t="s">
        <v>52</v>
      </c>
      <c r="G134" s="12">
        <f t="shared" ref="G134:G158" si="10">20/E134</f>
        <v>0.66666666666666663</v>
      </c>
      <c r="H134" s="17" t="s">
        <v>57</v>
      </c>
    </row>
    <row r="135" spans="1:8" x14ac:dyDescent="0.35">
      <c r="A135" s="8" t="s">
        <v>161</v>
      </c>
      <c r="B135" s="9" t="s">
        <v>98</v>
      </c>
      <c r="C135" s="9" t="s">
        <v>193</v>
      </c>
      <c r="D135" s="10" t="s">
        <v>204</v>
      </c>
      <c r="E135" s="12">
        <v>30</v>
      </c>
      <c r="F135" s="28" t="s">
        <v>52</v>
      </c>
      <c r="G135" s="12">
        <f t="shared" ref="G135" si="11">20/E135</f>
        <v>0.66666666666666663</v>
      </c>
      <c r="H135" s="17" t="s">
        <v>57</v>
      </c>
    </row>
    <row r="136" spans="1:8" x14ac:dyDescent="0.35">
      <c r="A136" s="8" t="s">
        <v>161</v>
      </c>
      <c r="B136" s="9" t="s">
        <v>45</v>
      </c>
      <c r="C136" s="9" t="s">
        <v>193</v>
      </c>
      <c r="D136" s="10" t="s">
        <v>205</v>
      </c>
      <c r="E136" s="12">
        <v>30</v>
      </c>
      <c r="F136" s="28" t="s">
        <v>52</v>
      </c>
      <c r="G136" s="12">
        <f t="shared" si="10"/>
        <v>0.66666666666666663</v>
      </c>
      <c r="H136" s="17" t="s">
        <v>57</v>
      </c>
    </row>
    <row r="137" spans="1:8" x14ac:dyDescent="0.35">
      <c r="A137" s="7" t="s">
        <v>161</v>
      </c>
      <c r="B137" s="7" t="s">
        <v>50</v>
      </c>
      <c r="C137" s="7" t="s">
        <v>206</v>
      </c>
      <c r="D137" s="21" t="s">
        <v>207</v>
      </c>
      <c r="E137" s="29">
        <v>22.5</v>
      </c>
      <c r="F137" s="7" t="s">
        <v>52</v>
      </c>
      <c r="G137" s="12">
        <f t="shared" si="10"/>
        <v>0.88888888888888884</v>
      </c>
      <c r="H137" s="17" t="s">
        <v>62</v>
      </c>
    </row>
    <row r="138" spans="1:8" x14ac:dyDescent="0.35">
      <c r="A138" s="16" t="s">
        <v>161</v>
      </c>
      <c r="B138" s="7" t="s">
        <v>136</v>
      </c>
      <c r="C138" s="7" t="s">
        <v>208</v>
      </c>
      <c r="D138" s="21" t="s">
        <v>209</v>
      </c>
      <c r="E138" s="20">
        <v>18</v>
      </c>
      <c r="F138" s="14" t="s">
        <v>52</v>
      </c>
      <c r="G138" s="12">
        <f t="shared" si="10"/>
        <v>1.1111111111111112</v>
      </c>
      <c r="H138" s="17" t="s">
        <v>53</v>
      </c>
    </row>
    <row r="139" spans="1:8" x14ac:dyDescent="0.35">
      <c r="A139" s="8" t="s">
        <v>161</v>
      </c>
      <c r="B139" s="9" t="s">
        <v>136</v>
      </c>
      <c r="C139" s="9" t="s">
        <v>210</v>
      </c>
      <c r="D139" s="10" t="s">
        <v>211</v>
      </c>
      <c r="E139" s="12">
        <v>15.5</v>
      </c>
      <c r="F139" s="28" t="s">
        <v>52</v>
      </c>
      <c r="G139" s="12">
        <f t="shared" si="10"/>
        <v>1.2903225806451613</v>
      </c>
      <c r="H139" s="17" t="s">
        <v>57</v>
      </c>
    </row>
    <row r="140" spans="1:8" x14ac:dyDescent="0.35">
      <c r="A140" s="8" t="s">
        <v>161</v>
      </c>
      <c r="B140" s="9" t="s">
        <v>136</v>
      </c>
      <c r="C140" s="9" t="s">
        <v>210</v>
      </c>
      <c r="D140" s="10" t="s">
        <v>212</v>
      </c>
      <c r="E140" s="12">
        <v>15.5</v>
      </c>
      <c r="F140" s="28" t="s">
        <v>52</v>
      </c>
      <c r="G140" s="12">
        <f t="shared" si="10"/>
        <v>1.2903225806451613</v>
      </c>
      <c r="H140" s="17" t="s">
        <v>179</v>
      </c>
    </row>
    <row r="141" spans="1:8" x14ac:dyDescent="0.35">
      <c r="A141" s="8" t="s">
        <v>161</v>
      </c>
      <c r="B141" s="9" t="s">
        <v>54</v>
      </c>
      <c r="C141" s="9" t="s">
        <v>210</v>
      </c>
      <c r="D141" s="10" t="s">
        <v>213</v>
      </c>
      <c r="E141" s="12">
        <v>15.5</v>
      </c>
      <c r="F141" s="28" t="s">
        <v>52</v>
      </c>
      <c r="G141" s="12">
        <f t="shared" si="10"/>
        <v>1.2903225806451613</v>
      </c>
      <c r="H141" s="17" t="s">
        <v>57</v>
      </c>
    </row>
    <row r="142" spans="1:8" x14ac:dyDescent="0.35">
      <c r="A142" s="8" t="s">
        <v>161</v>
      </c>
      <c r="B142" s="9" t="s">
        <v>136</v>
      </c>
      <c r="C142" s="9" t="s">
        <v>210</v>
      </c>
      <c r="D142" s="9" t="s">
        <v>214</v>
      </c>
      <c r="E142" s="33">
        <v>15.5</v>
      </c>
      <c r="F142" s="34" t="s">
        <v>52</v>
      </c>
      <c r="G142" s="12">
        <f t="shared" si="10"/>
        <v>1.2903225806451613</v>
      </c>
      <c r="H142" s="17" t="s">
        <v>179</v>
      </c>
    </row>
    <row r="143" spans="1:8" s="26" customFormat="1" x14ac:dyDescent="0.35">
      <c r="A143" s="14" t="s">
        <v>161</v>
      </c>
      <c r="B143" s="14" t="s">
        <v>50</v>
      </c>
      <c r="C143" s="14" t="s">
        <v>210</v>
      </c>
      <c r="D143" s="14" t="s">
        <v>215</v>
      </c>
      <c r="E143" s="24">
        <v>15.5</v>
      </c>
      <c r="F143" s="25" t="s">
        <v>52</v>
      </c>
      <c r="G143" s="24">
        <f>20/E143</f>
        <v>1.2903225806451613</v>
      </c>
      <c r="H143" s="18" t="s">
        <v>114</v>
      </c>
    </row>
    <row r="144" spans="1:8" x14ac:dyDescent="0.35">
      <c r="A144" s="8" t="s">
        <v>161</v>
      </c>
      <c r="B144" s="9" t="s">
        <v>54</v>
      </c>
      <c r="C144" s="9" t="s">
        <v>210</v>
      </c>
      <c r="D144" s="9" t="s">
        <v>216</v>
      </c>
      <c r="E144" s="35">
        <v>15.5</v>
      </c>
      <c r="F144" s="34" t="s">
        <v>52</v>
      </c>
      <c r="G144" s="12">
        <f t="shared" si="10"/>
        <v>1.2903225806451613</v>
      </c>
      <c r="H144" s="17" t="s">
        <v>57</v>
      </c>
    </row>
    <row r="145" spans="1:8" x14ac:dyDescent="0.35">
      <c r="A145" s="8" t="s">
        <v>161</v>
      </c>
      <c r="B145" s="9" t="s">
        <v>50</v>
      </c>
      <c r="C145" s="9" t="s">
        <v>210</v>
      </c>
      <c r="D145" s="9" t="s">
        <v>217</v>
      </c>
      <c r="E145" s="35">
        <v>15.5</v>
      </c>
      <c r="F145" s="34" t="s">
        <v>52</v>
      </c>
      <c r="G145" s="12">
        <f t="shared" si="10"/>
        <v>1.2903225806451613</v>
      </c>
      <c r="H145" s="17" t="s">
        <v>179</v>
      </c>
    </row>
    <row r="146" spans="1:8" x14ac:dyDescent="0.35">
      <c r="A146" s="8" t="s">
        <v>161</v>
      </c>
      <c r="B146" s="9" t="s">
        <v>136</v>
      </c>
      <c r="C146" s="9" t="s">
        <v>210</v>
      </c>
      <c r="D146" s="9" t="s">
        <v>218</v>
      </c>
      <c r="E146" s="33">
        <v>15.5</v>
      </c>
      <c r="F146" s="34" t="s">
        <v>52</v>
      </c>
      <c r="G146" s="12">
        <f t="shared" si="10"/>
        <v>1.2903225806451613</v>
      </c>
      <c r="H146" s="17" t="s">
        <v>179</v>
      </c>
    </row>
    <row r="147" spans="1:8" x14ac:dyDescent="0.35">
      <c r="A147" s="8" t="s">
        <v>161</v>
      </c>
      <c r="B147" s="9" t="s">
        <v>54</v>
      </c>
      <c r="C147" s="9" t="s">
        <v>210</v>
      </c>
      <c r="D147" s="9" t="s">
        <v>219</v>
      </c>
      <c r="E147" s="33">
        <v>15.5</v>
      </c>
      <c r="F147" s="34" t="s">
        <v>52</v>
      </c>
      <c r="G147" s="12">
        <f t="shared" si="10"/>
        <v>1.2903225806451613</v>
      </c>
      <c r="H147" s="17" t="s">
        <v>57</v>
      </c>
    </row>
    <row r="148" spans="1:8" x14ac:dyDescent="0.35">
      <c r="A148" s="8" t="s">
        <v>161</v>
      </c>
      <c r="B148" s="9" t="s">
        <v>136</v>
      </c>
      <c r="C148" s="9" t="s">
        <v>210</v>
      </c>
      <c r="D148" s="9" t="s">
        <v>220</v>
      </c>
      <c r="E148" s="33">
        <v>15.5</v>
      </c>
      <c r="F148" s="34" t="s">
        <v>52</v>
      </c>
      <c r="G148" s="12">
        <f t="shared" si="10"/>
        <v>1.2903225806451613</v>
      </c>
      <c r="H148" s="17" t="s">
        <v>179</v>
      </c>
    </row>
    <row r="149" spans="1:8" x14ac:dyDescent="0.35">
      <c r="A149" s="8" t="s">
        <v>161</v>
      </c>
      <c r="B149" s="9" t="s">
        <v>86</v>
      </c>
      <c r="C149" s="9" t="s">
        <v>210</v>
      </c>
      <c r="D149" s="9" t="s">
        <v>220</v>
      </c>
      <c r="E149" s="33">
        <v>15.5</v>
      </c>
      <c r="F149" s="34" t="s">
        <v>52</v>
      </c>
      <c r="G149" s="12">
        <f t="shared" si="10"/>
        <v>1.2903225806451613</v>
      </c>
      <c r="H149" s="17" t="s">
        <v>179</v>
      </c>
    </row>
    <row r="150" spans="1:8" x14ac:dyDescent="0.35">
      <c r="A150" s="8" t="s">
        <v>161</v>
      </c>
      <c r="B150" s="9" t="s">
        <v>136</v>
      </c>
      <c r="C150" s="9" t="s">
        <v>210</v>
      </c>
      <c r="D150" s="9" t="s">
        <v>221</v>
      </c>
      <c r="E150" s="33">
        <v>15.5</v>
      </c>
      <c r="F150" s="34" t="s">
        <v>52</v>
      </c>
      <c r="G150" s="12">
        <f t="shared" si="10"/>
        <v>1.2903225806451613</v>
      </c>
      <c r="H150" s="17" t="s">
        <v>179</v>
      </c>
    </row>
    <row r="151" spans="1:8" x14ac:dyDescent="0.35">
      <c r="A151" s="8" t="s">
        <v>161</v>
      </c>
      <c r="B151" s="9" t="s">
        <v>136</v>
      </c>
      <c r="C151" s="9" t="s">
        <v>210</v>
      </c>
      <c r="D151" s="9" t="s">
        <v>222</v>
      </c>
      <c r="E151" s="33">
        <v>15.5</v>
      </c>
      <c r="F151" s="34" t="s">
        <v>52</v>
      </c>
      <c r="G151" s="12">
        <f t="shared" si="10"/>
        <v>1.2903225806451613</v>
      </c>
      <c r="H151" s="17" t="s">
        <v>179</v>
      </c>
    </row>
    <row r="152" spans="1:8" x14ac:dyDescent="0.35">
      <c r="A152" s="8" t="s">
        <v>161</v>
      </c>
      <c r="B152" s="9" t="s">
        <v>98</v>
      </c>
      <c r="C152" s="9" t="s">
        <v>210</v>
      </c>
      <c r="D152" s="9" t="s">
        <v>223</v>
      </c>
      <c r="E152" s="33">
        <v>15.5</v>
      </c>
      <c r="F152" s="34" t="s">
        <v>52</v>
      </c>
      <c r="G152" s="12">
        <f t="shared" si="10"/>
        <v>1.2903225806451613</v>
      </c>
      <c r="H152" s="17" t="s">
        <v>179</v>
      </c>
    </row>
    <row r="153" spans="1:8" x14ac:dyDescent="0.35">
      <c r="A153" s="8" t="s">
        <v>161</v>
      </c>
      <c r="B153" s="9" t="s">
        <v>54</v>
      </c>
      <c r="C153" s="9" t="s">
        <v>210</v>
      </c>
      <c r="D153" s="9" t="s">
        <v>224</v>
      </c>
      <c r="E153" s="33">
        <v>15.5</v>
      </c>
      <c r="F153" s="34" t="s">
        <v>52</v>
      </c>
      <c r="G153" s="12">
        <f t="shared" si="10"/>
        <v>1.2903225806451613</v>
      </c>
      <c r="H153" s="17" t="s">
        <v>179</v>
      </c>
    </row>
    <row r="154" spans="1:8" x14ac:dyDescent="0.35">
      <c r="A154" s="8" t="s">
        <v>161</v>
      </c>
      <c r="B154" s="9" t="s">
        <v>54</v>
      </c>
      <c r="C154" s="9" t="s">
        <v>210</v>
      </c>
      <c r="D154" s="9" t="s">
        <v>225</v>
      </c>
      <c r="E154" s="33">
        <v>15.5</v>
      </c>
      <c r="F154" s="34" t="s">
        <v>52</v>
      </c>
      <c r="G154" s="12">
        <f t="shared" si="10"/>
        <v>1.2903225806451613</v>
      </c>
      <c r="H154" s="17" t="s">
        <v>179</v>
      </c>
    </row>
    <row r="155" spans="1:8" x14ac:dyDescent="0.35">
      <c r="A155" s="8" t="s">
        <v>161</v>
      </c>
      <c r="B155" s="9" t="s">
        <v>54</v>
      </c>
      <c r="C155" s="9" t="s">
        <v>210</v>
      </c>
      <c r="D155" s="9" t="s">
        <v>226</v>
      </c>
      <c r="E155" s="33">
        <v>15.5</v>
      </c>
      <c r="F155" s="34" t="s">
        <v>52</v>
      </c>
      <c r="G155" s="12">
        <f t="shared" si="10"/>
        <v>1.2903225806451613</v>
      </c>
      <c r="H155" s="17" t="s">
        <v>179</v>
      </c>
    </row>
    <row r="156" spans="1:8" x14ac:dyDescent="0.35">
      <c r="A156" s="8" t="s">
        <v>161</v>
      </c>
      <c r="B156" s="9" t="s">
        <v>54</v>
      </c>
      <c r="C156" s="9" t="s">
        <v>210</v>
      </c>
      <c r="D156" s="9" t="s">
        <v>227</v>
      </c>
      <c r="E156" s="33">
        <v>15.5</v>
      </c>
      <c r="F156" s="34" t="s">
        <v>52</v>
      </c>
      <c r="G156" s="12">
        <f t="shared" ref="G156" si="12">20/E156</f>
        <v>1.2903225806451613</v>
      </c>
      <c r="H156" s="17" t="s">
        <v>179</v>
      </c>
    </row>
    <row r="157" spans="1:8" x14ac:dyDescent="0.35">
      <c r="A157" s="8" t="s">
        <v>161</v>
      </c>
      <c r="B157" s="9" t="s">
        <v>54</v>
      </c>
      <c r="C157" s="9" t="s">
        <v>210</v>
      </c>
      <c r="D157" s="9" t="s">
        <v>228</v>
      </c>
      <c r="E157" s="33">
        <v>15.5</v>
      </c>
      <c r="F157" s="34" t="s">
        <v>52</v>
      </c>
      <c r="G157" s="12">
        <f t="shared" si="10"/>
        <v>1.2903225806451613</v>
      </c>
      <c r="H157" s="17" t="s">
        <v>179</v>
      </c>
    </row>
    <row r="158" spans="1:8" x14ac:dyDescent="0.35">
      <c r="A158" s="8" t="s">
        <v>161</v>
      </c>
      <c r="B158" s="9" t="s">
        <v>54</v>
      </c>
      <c r="C158" s="9" t="s">
        <v>229</v>
      </c>
      <c r="D158" s="9" t="s">
        <v>230</v>
      </c>
      <c r="E158" s="35">
        <v>60</v>
      </c>
      <c r="F158" s="34" t="s">
        <v>170</v>
      </c>
      <c r="G158" s="12">
        <f t="shared" si="10"/>
        <v>0.33333333333333331</v>
      </c>
      <c r="H158" s="17" t="s">
        <v>57</v>
      </c>
    </row>
    <row r="159" spans="1:8" x14ac:dyDescent="0.35">
      <c r="A159" s="8" t="s">
        <v>161</v>
      </c>
      <c r="B159" s="9" t="s">
        <v>45</v>
      </c>
      <c r="C159" s="9" t="s">
        <v>229</v>
      </c>
      <c r="D159" s="9" t="s">
        <v>230</v>
      </c>
      <c r="E159" s="33">
        <v>60</v>
      </c>
      <c r="F159" s="34" t="s">
        <v>170</v>
      </c>
      <c r="G159" s="12">
        <v>0.33333333333333331</v>
      </c>
      <c r="H159" s="17" t="s">
        <v>57</v>
      </c>
    </row>
    <row r="160" spans="1:8" x14ac:dyDescent="0.35">
      <c r="A160" s="8" t="s">
        <v>161</v>
      </c>
      <c r="B160" s="9" t="s">
        <v>54</v>
      </c>
      <c r="C160" s="9" t="s">
        <v>229</v>
      </c>
      <c r="D160" s="9" t="s">
        <v>231</v>
      </c>
      <c r="E160" s="33">
        <v>60</v>
      </c>
      <c r="F160" s="34" t="s">
        <v>170</v>
      </c>
      <c r="G160" s="12">
        <f t="shared" ref="G160:G192" si="13">20/E160</f>
        <v>0.33333333333333331</v>
      </c>
      <c r="H160" s="17" t="s">
        <v>57</v>
      </c>
    </row>
    <row r="161" spans="1:8" x14ac:dyDescent="0.35">
      <c r="A161" s="8" t="s">
        <v>161</v>
      </c>
      <c r="B161" s="9" t="s">
        <v>54</v>
      </c>
      <c r="C161" s="9" t="s">
        <v>229</v>
      </c>
      <c r="D161" s="9" t="s">
        <v>232</v>
      </c>
      <c r="E161" s="33">
        <v>60</v>
      </c>
      <c r="F161" s="34" t="s">
        <v>52</v>
      </c>
      <c r="G161" s="12">
        <f t="shared" si="13"/>
        <v>0.33333333333333331</v>
      </c>
      <c r="H161" s="17" t="s">
        <v>57</v>
      </c>
    </row>
    <row r="162" spans="1:8" x14ac:dyDescent="0.35">
      <c r="A162" s="8" t="s">
        <v>161</v>
      </c>
      <c r="B162" s="9" t="s">
        <v>54</v>
      </c>
      <c r="C162" s="9" t="s">
        <v>229</v>
      </c>
      <c r="D162" s="9" t="s">
        <v>233</v>
      </c>
      <c r="E162" s="33">
        <v>60</v>
      </c>
      <c r="F162" s="34" t="s">
        <v>170</v>
      </c>
      <c r="G162" s="12">
        <f t="shared" si="13"/>
        <v>0.33333333333333331</v>
      </c>
      <c r="H162" s="17" t="s">
        <v>57</v>
      </c>
    </row>
    <row r="163" spans="1:8" x14ac:dyDescent="0.35">
      <c r="A163" s="16" t="s">
        <v>161</v>
      </c>
      <c r="B163" s="7" t="s">
        <v>136</v>
      </c>
      <c r="C163" s="7" t="s">
        <v>234</v>
      </c>
      <c r="D163" s="7" t="s">
        <v>235</v>
      </c>
      <c r="E163" s="36">
        <v>15</v>
      </c>
      <c r="F163" s="25" t="s">
        <v>52</v>
      </c>
      <c r="G163" s="12">
        <f t="shared" si="13"/>
        <v>1.3333333333333333</v>
      </c>
      <c r="H163" s="17" t="s">
        <v>179</v>
      </c>
    </row>
    <row r="164" spans="1:8" x14ac:dyDescent="0.35">
      <c r="A164" s="16" t="s">
        <v>161</v>
      </c>
      <c r="B164" s="7" t="s">
        <v>50</v>
      </c>
      <c r="C164" s="7" t="s">
        <v>234</v>
      </c>
      <c r="D164" s="7" t="s">
        <v>235</v>
      </c>
      <c r="E164" s="36">
        <v>15</v>
      </c>
      <c r="F164" s="25" t="s">
        <v>52</v>
      </c>
      <c r="G164" s="12">
        <f t="shared" si="13"/>
        <v>1.3333333333333333</v>
      </c>
      <c r="H164" s="17" t="s">
        <v>179</v>
      </c>
    </row>
    <row r="165" spans="1:8" x14ac:dyDescent="0.35">
      <c r="A165" s="16" t="s">
        <v>161</v>
      </c>
      <c r="B165" s="7" t="s">
        <v>136</v>
      </c>
      <c r="C165" s="7" t="s">
        <v>234</v>
      </c>
      <c r="D165" s="7" t="s">
        <v>236</v>
      </c>
      <c r="E165" s="36">
        <v>15</v>
      </c>
      <c r="F165" s="25" t="s">
        <v>52</v>
      </c>
      <c r="G165" s="12">
        <f t="shared" si="13"/>
        <v>1.3333333333333333</v>
      </c>
      <c r="H165" s="17" t="s">
        <v>179</v>
      </c>
    </row>
    <row r="166" spans="1:8" x14ac:dyDescent="0.35">
      <c r="A166" s="16" t="s">
        <v>161</v>
      </c>
      <c r="B166" s="7" t="s">
        <v>50</v>
      </c>
      <c r="C166" s="7" t="s">
        <v>234</v>
      </c>
      <c r="D166" s="7" t="s">
        <v>237</v>
      </c>
      <c r="E166" s="36">
        <v>15</v>
      </c>
      <c r="F166" s="25" t="s">
        <v>52</v>
      </c>
      <c r="G166" s="12">
        <f t="shared" si="13"/>
        <v>1.3333333333333333</v>
      </c>
      <c r="H166" s="17" t="s">
        <v>179</v>
      </c>
    </row>
    <row r="167" spans="1:8" x14ac:dyDescent="0.35">
      <c r="A167" s="8" t="s">
        <v>161</v>
      </c>
      <c r="B167" s="9" t="s">
        <v>45</v>
      </c>
      <c r="C167" s="9" t="s">
        <v>234</v>
      </c>
      <c r="D167" s="9" t="s">
        <v>238</v>
      </c>
      <c r="E167" s="36">
        <v>15</v>
      </c>
      <c r="F167" s="34" t="s">
        <v>52</v>
      </c>
      <c r="G167" s="12">
        <f t="shared" si="13"/>
        <v>1.3333333333333333</v>
      </c>
      <c r="H167" s="17" t="s">
        <v>179</v>
      </c>
    </row>
    <row r="168" spans="1:8" x14ac:dyDescent="0.35">
      <c r="A168" s="8" t="s">
        <v>161</v>
      </c>
      <c r="B168" s="9" t="s">
        <v>54</v>
      </c>
      <c r="C168" s="9" t="s">
        <v>234</v>
      </c>
      <c r="D168" s="9" t="s">
        <v>239</v>
      </c>
      <c r="E168" s="36">
        <v>15</v>
      </c>
      <c r="F168" s="34" t="s">
        <v>52</v>
      </c>
      <c r="G168" s="12">
        <f t="shared" si="13"/>
        <v>1.3333333333333333</v>
      </c>
      <c r="H168" s="17" t="s">
        <v>179</v>
      </c>
    </row>
    <row r="169" spans="1:8" x14ac:dyDescent="0.35">
      <c r="A169" s="8" t="s">
        <v>161</v>
      </c>
      <c r="B169" s="9" t="s">
        <v>54</v>
      </c>
      <c r="C169" s="9" t="s">
        <v>234</v>
      </c>
      <c r="D169" s="9" t="s">
        <v>240</v>
      </c>
      <c r="E169" s="36">
        <v>15</v>
      </c>
      <c r="F169" s="34" t="s">
        <v>52</v>
      </c>
      <c r="G169" s="12">
        <f t="shared" si="13"/>
        <v>1.3333333333333333</v>
      </c>
      <c r="H169" s="17" t="s">
        <v>179</v>
      </c>
    </row>
    <row r="170" spans="1:8" x14ac:dyDescent="0.35">
      <c r="A170" s="8" t="s">
        <v>161</v>
      </c>
      <c r="B170" s="9" t="s">
        <v>86</v>
      </c>
      <c r="C170" s="9" t="s">
        <v>234</v>
      </c>
      <c r="D170" s="9" t="s">
        <v>240</v>
      </c>
      <c r="E170" s="36">
        <v>15</v>
      </c>
      <c r="F170" s="34" t="s">
        <v>52</v>
      </c>
      <c r="G170" s="12">
        <f t="shared" si="13"/>
        <v>1.3333333333333333</v>
      </c>
      <c r="H170" s="17" t="s">
        <v>179</v>
      </c>
    </row>
    <row r="171" spans="1:8" x14ac:dyDescent="0.35">
      <c r="A171" s="8" t="s">
        <v>161</v>
      </c>
      <c r="B171" s="9" t="s">
        <v>45</v>
      </c>
      <c r="C171" s="9" t="s">
        <v>234</v>
      </c>
      <c r="D171" s="9" t="s">
        <v>241</v>
      </c>
      <c r="E171" s="36">
        <v>15</v>
      </c>
      <c r="F171" s="34" t="s">
        <v>52</v>
      </c>
      <c r="G171" s="12">
        <f t="shared" si="13"/>
        <v>1.3333333333333333</v>
      </c>
      <c r="H171" s="17" t="s">
        <v>179</v>
      </c>
    </row>
    <row r="172" spans="1:8" x14ac:dyDescent="0.35">
      <c r="A172" s="16" t="s">
        <v>161</v>
      </c>
      <c r="B172" s="7" t="s">
        <v>50</v>
      </c>
      <c r="C172" s="7" t="s">
        <v>234</v>
      </c>
      <c r="D172" s="7" t="s">
        <v>242</v>
      </c>
      <c r="E172" s="36">
        <v>15</v>
      </c>
      <c r="F172" s="25" t="s">
        <v>52</v>
      </c>
      <c r="G172" s="12">
        <f t="shared" si="13"/>
        <v>1.3333333333333333</v>
      </c>
      <c r="H172" s="17" t="s">
        <v>179</v>
      </c>
    </row>
    <row r="173" spans="1:8" x14ac:dyDescent="0.35">
      <c r="A173" s="16" t="s">
        <v>161</v>
      </c>
      <c r="B173" s="7" t="s">
        <v>54</v>
      </c>
      <c r="C173" s="7" t="s">
        <v>234</v>
      </c>
      <c r="D173" s="7" t="s">
        <v>243</v>
      </c>
      <c r="E173" s="36">
        <v>15</v>
      </c>
      <c r="F173" s="25" t="s">
        <v>52</v>
      </c>
      <c r="G173" s="12">
        <f t="shared" si="13"/>
        <v>1.3333333333333333</v>
      </c>
      <c r="H173" s="17" t="s">
        <v>179</v>
      </c>
    </row>
    <row r="174" spans="1:8" x14ac:dyDescent="0.35">
      <c r="A174" s="16" t="s">
        <v>161</v>
      </c>
      <c r="B174" s="7" t="s">
        <v>54</v>
      </c>
      <c r="C174" s="7" t="s">
        <v>234</v>
      </c>
      <c r="D174" s="7" t="s">
        <v>244</v>
      </c>
      <c r="E174" s="36">
        <v>15</v>
      </c>
      <c r="F174" s="25" t="s">
        <v>52</v>
      </c>
      <c r="G174" s="12">
        <f t="shared" si="13"/>
        <v>1.3333333333333333</v>
      </c>
      <c r="H174" s="17" t="s">
        <v>179</v>
      </c>
    </row>
    <row r="175" spans="1:8" x14ac:dyDescent="0.35">
      <c r="A175" s="16" t="s">
        <v>161</v>
      </c>
      <c r="B175" s="7" t="s">
        <v>54</v>
      </c>
      <c r="C175" s="7" t="s">
        <v>234</v>
      </c>
      <c r="D175" s="7" t="s">
        <v>245</v>
      </c>
      <c r="E175" s="36">
        <v>15</v>
      </c>
      <c r="F175" s="25" t="s">
        <v>52</v>
      </c>
      <c r="G175" s="12">
        <f t="shared" si="13"/>
        <v>1.3333333333333333</v>
      </c>
      <c r="H175" s="17" t="s">
        <v>179</v>
      </c>
    </row>
    <row r="176" spans="1:8" x14ac:dyDescent="0.35">
      <c r="A176" s="16" t="s">
        <v>161</v>
      </c>
      <c r="B176" s="7" t="s">
        <v>45</v>
      </c>
      <c r="C176" s="7" t="s">
        <v>234</v>
      </c>
      <c r="D176" s="7" t="s">
        <v>245</v>
      </c>
      <c r="E176" s="36">
        <v>15</v>
      </c>
      <c r="F176" s="25" t="s">
        <v>52</v>
      </c>
      <c r="G176" s="12">
        <f t="shared" si="13"/>
        <v>1.3333333333333333</v>
      </c>
      <c r="H176" s="17" t="s">
        <v>179</v>
      </c>
    </row>
    <row r="177" spans="1:8" x14ac:dyDescent="0.35">
      <c r="A177" s="8" t="s">
        <v>161</v>
      </c>
      <c r="B177" s="9" t="s">
        <v>98</v>
      </c>
      <c r="C177" s="9" t="s">
        <v>246</v>
      </c>
      <c r="D177" s="9" t="s">
        <v>247</v>
      </c>
      <c r="E177" s="35">
        <v>15</v>
      </c>
      <c r="F177" s="34" t="s">
        <v>52</v>
      </c>
      <c r="G177" s="12">
        <f t="shared" si="13"/>
        <v>1.3333333333333333</v>
      </c>
      <c r="H177" s="17" t="s">
        <v>179</v>
      </c>
    </row>
    <row r="178" spans="1:8" x14ac:dyDescent="0.35">
      <c r="A178" s="8" t="s">
        <v>161</v>
      </c>
      <c r="B178" s="9" t="s">
        <v>136</v>
      </c>
      <c r="C178" s="9" t="s">
        <v>246</v>
      </c>
      <c r="D178" s="9" t="s">
        <v>248</v>
      </c>
      <c r="E178" s="35">
        <v>15</v>
      </c>
      <c r="F178" s="34" t="s">
        <v>52</v>
      </c>
      <c r="G178" s="12">
        <f t="shared" si="13"/>
        <v>1.3333333333333333</v>
      </c>
      <c r="H178" s="17" t="s">
        <v>57</v>
      </c>
    </row>
    <row r="179" spans="1:8" x14ac:dyDescent="0.35">
      <c r="A179" s="8" t="s">
        <v>161</v>
      </c>
      <c r="B179" s="9" t="s">
        <v>45</v>
      </c>
      <c r="C179" s="9" t="s">
        <v>246</v>
      </c>
      <c r="D179" s="9" t="s">
        <v>249</v>
      </c>
      <c r="E179" s="35">
        <v>15</v>
      </c>
      <c r="F179" s="34" t="s">
        <v>52</v>
      </c>
      <c r="G179" s="12">
        <f t="shared" si="13"/>
        <v>1.3333333333333333</v>
      </c>
      <c r="H179" s="17" t="s">
        <v>179</v>
      </c>
    </row>
    <row r="180" spans="1:8" x14ac:dyDescent="0.35">
      <c r="A180" s="8" t="s">
        <v>161</v>
      </c>
      <c r="B180" s="9" t="s">
        <v>45</v>
      </c>
      <c r="C180" s="9" t="s">
        <v>246</v>
      </c>
      <c r="D180" s="9" t="s">
        <v>250</v>
      </c>
      <c r="E180" s="35">
        <v>15</v>
      </c>
      <c r="F180" s="34" t="s">
        <v>52</v>
      </c>
      <c r="G180" s="12">
        <f t="shared" si="13"/>
        <v>1.3333333333333333</v>
      </c>
      <c r="H180" s="17" t="s">
        <v>179</v>
      </c>
    </row>
    <row r="181" spans="1:8" x14ac:dyDescent="0.35">
      <c r="A181" s="8" t="s">
        <v>161</v>
      </c>
      <c r="B181" s="9" t="s">
        <v>50</v>
      </c>
      <c r="C181" s="9" t="s">
        <v>246</v>
      </c>
      <c r="D181" s="9" t="s">
        <v>251</v>
      </c>
      <c r="E181" s="35">
        <v>15</v>
      </c>
      <c r="F181" s="34" t="s">
        <v>52</v>
      </c>
      <c r="G181" s="12">
        <f t="shared" si="13"/>
        <v>1.3333333333333333</v>
      </c>
      <c r="H181" s="17" t="s">
        <v>179</v>
      </c>
    </row>
    <row r="182" spans="1:8" x14ac:dyDescent="0.35">
      <c r="A182" s="8" t="s">
        <v>161</v>
      </c>
      <c r="B182" s="9" t="s">
        <v>50</v>
      </c>
      <c r="C182" s="9" t="s">
        <v>246</v>
      </c>
      <c r="D182" s="9" t="s">
        <v>252</v>
      </c>
      <c r="E182" s="35">
        <v>15</v>
      </c>
      <c r="F182" s="34" t="s">
        <v>52</v>
      </c>
      <c r="G182" s="12">
        <f t="shared" si="13"/>
        <v>1.3333333333333333</v>
      </c>
      <c r="H182" s="17" t="s">
        <v>179</v>
      </c>
    </row>
    <row r="183" spans="1:8" x14ac:dyDescent="0.35">
      <c r="A183" s="8" t="s">
        <v>161</v>
      </c>
      <c r="B183" s="9" t="s">
        <v>54</v>
      </c>
      <c r="C183" s="9" t="s">
        <v>246</v>
      </c>
      <c r="D183" s="9" t="s">
        <v>253</v>
      </c>
      <c r="E183" s="35">
        <v>15</v>
      </c>
      <c r="F183" s="34" t="s">
        <v>52</v>
      </c>
      <c r="G183" s="12">
        <f t="shared" si="13"/>
        <v>1.3333333333333333</v>
      </c>
      <c r="H183" s="17" t="s">
        <v>179</v>
      </c>
    </row>
    <row r="184" spans="1:8" x14ac:dyDescent="0.35">
      <c r="A184" s="8" t="s">
        <v>161</v>
      </c>
      <c r="B184" s="9" t="s">
        <v>54</v>
      </c>
      <c r="C184" s="9" t="s">
        <v>246</v>
      </c>
      <c r="D184" s="10" t="s">
        <v>254</v>
      </c>
      <c r="E184" s="35">
        <v>15</v>
      </c>
      <c r="F184" s="28" t="s">
        <v>52</v>
      </c>
      <c r="G184" s="12">
        <f t="shared" si="13"/>
        <v>1.3333333333333333</v>
      </c>
      <c r="H184" s="17" t="s">
        <v>179</v>
      </c>
    </row>
    <row r="185" spans="1:8" x14ac:dyDescent="0.35">
      <c r="A185" s="8" t="s">
        <v>161</v>
      </c>
      <c r="B185" s="9" t="s">
        <v>54</v>
      </c>
      <c r="C185" s="9" t="s">
        <v>246</v>
      </c>
      <c r="D185" s="10" t="s">
        <v>255</v>
      </c>
      <c r="E185" s="35">
        <v>15</v>
      </c>
      <c r="F185" s="28" t="s">
        <v>52</v>
      </c>
      <c r="G185" s="12">
        <f t="shared" si="13"/>
        <v>1.3333333333333333</v>
      </c>
      <c r="H185" s="17" t="s">
        <v>179</v>
      </c>
    </row>
    <row r="186" spans="1:8" x14ac:dyDescent="0.35">
      <c r="A186" s="8" t="s">
        <v>161</v>
      </c>
      <c r="B186" s="9" t="s">
        <v>54</v>
      </c>
      <c r="C186" s="9" t="s">
        <v>246</v>
      </c>
      <c r="D186" s="10" t="s">
        <v>256</v>
      </c>
      <c r="E186" s="35">
        <v>15</v>
      </c>
      <c r="F186" s="28" t="s">
        <v>52</v>
      </c>
      <c r="G186" s="12">
        <f t="shared" si="13"/>
        <v>1.3333333333333333</v>
      </c>
      <c r="H186" s="17" t="s">
        <v>179</v>
      </c>
    </row>
    <row r="187" spans="1:8" x14ac:dyDescent="0.35">
      <c r="A187" s="8" t="s">
        <v>161</v>
      </c>
      <c r="B187" s="9" t="s">
        <v>54</v>
      </c>
      <c r="C187" s="9" t="s">
        <v>257</v>
      </c>
      <c r="D187" s="10" t="s">
        <v>258</v>
      </c>
      <c r="E187" s="12">
        <v>15</v>
      </c>
      <c r="F187" s="28" t="s">
        <v>52</v>
      </c>
      <c r="G187" s="12">
        <f t="shared" si="13"/>
        <v>1.3333333333333333</v>
      </c>
      <c r="H187" s="17" t="s">
        <v>53</v>
      </c>
    </row>
    <row r="188" spans="1:8" x14ac:dyDescent="0.35">
      <c r="A188" s="8" t="s">
        <v>161</v>
      </c>
      <c r="B188" s="9" t="s">
        <v>50</v>
      </c>
      <c r="C188" s="9" t="s">
        <v>257</v>
      </c>
      <c r="D188" s="10" t="s">
        <v>258</v>
      </c>
      <c r="E188" s="12">
        <v>15</v>
      </c>
      <c r="F188" s="28" t="s">
        <v>52</v>
      </c>
      <c r="G188" s="12">
        <f t="shared" ref="G188" si="14">20/E188</f>
        <v>1.3333333333333333</v>
      </c>
      <c r="H188" s="17" t="s">
        <v>53</v>
      </c>
    </row>
    <row r="189" spans="1:8" x14ac:dyDescent="0.35">
      <c r="A189" s="8" t="s">
        <v>161</v>
      </c>
      <c r="B189" s="9" t="s">
        <v>54</v>
      </c>
      <c r="C189" s="9" t="s">
        <v>257</v>
      </c>
      <c r="D189" s="10" t="s">
        <v>259</v>
      </c>
      <c r="E189" s="12">
        <v>16</v>
      </c>
      <c r="F189" s="28" t="s">
        <v>52</v>
      </c>
      <c r="G189" s="12">
        <f t="shared" si="13"/>
        <v>1.25</v>
      </c>
      <c r="H189" s="17" t="s">
        <v>57</v>
      </c>
    </row>
    <row r="190" spans="1:8" x14ac:dyDescent="0.35">
      <c r="A190" s="8" t="s">
        <v>260</v>
      </c>
      <c r="B190" s="9" t="s">
        <v>98</v>
      </c>
      <c r="C190" s="9" t="s">
        <v>261</v>
      </c>
      <c r="D190" s="10" t="s">
        <v>262</v>
      </c>
      <c r="E190" s="12">
        <v>30</v>
      </c>
      <c r="F190" s="28" t="s">
        <v>263</v>
      </c>
      <c r="G190" s="12">
        <f t="shared" si="13"/>
        <v>0.66666666666666663</v>
      </c>
      <c r="H190" s="17" t="s">
        <v>57</v>
      </c>
    </row>
    <row r="191" spans="1:8" x14ac:dyDescent="0.35">
      <c r="A191" s="8" t="s">
        <v>260</v>
      </c>
      <c r="B191" s="9" t="s">
        <v>54</v>
      </c>
      <c r="C191" s="9" t="s">
        <v>261</v>
      </c>
      <c r="D191" s="10" t="s">
        <v>264</v>
      </c>
      <c r="E191" s="12">
        <v>30</v>
      </c>
      <c r="F191" s="28" t="s">
        <v>263</v>
      </c>
      <c r="G191" s="12">
        <f t="shared" si="13"/>
        <v>0.66666666666666663</v>
      </c>
      <c r="H191" s="17" t="s">
        <v>57</v>
      </c>
    </row>
    <row r="192" spans="1:8" x14ac:dyDescent="0.35">
      <c r="A192" s="14" t="s">
        <v>260</v>
      </c>
      <c r="B192" s="9" t="s">
        <v>45</v>
      </c>
      <c r="C192" s="9" t="s">
        <v>261</v>
      </c>
      <c r="D192" s="10" t="s">
        <v>265</v>
      </c>
      <c r="E192" s="24">
        <v>30</v>
      </c>
      <c r="F192" s="37" t="s">
        <v>263</v>
      </c>
      <c r="G192" s="12">
        <f t="shared" si="13"/>
        <v>0.66666666666666663</v>
      </c>
      <c r="H192" s="17" t="s">
        <v>266</v>
      </c>
    </row>
    <row r="193" spans="1:8" x14ac:dyDescent="0.35">
      <c r="A193" s="16" t="s">
        <v>260</v>
      </c>
      <c r="B193" s="7" t="s">
        <v>45</v>
      </c>
      <c r="C193" s="7" t="s">
        <v>267</v>
      </c>
      <c r="D193" s="21" t="s">
        <v>268</v>
      </c>
      <c r="E193" s="24">
        <v>30</v>
      </c>
      <c r="F193" s="14" t="s">
        <v>263</v>
      </c>
      <c r="G193" s="12">
        <f t="shared" ref="G193:G224" si="15">20/E193</f>
        <v>0.66666666666666663</v>
      </c>
      <c r="H193" s="18" t="s">
        <v>269</v>
      </c>
    </row>
    <row r="194" spans="1:8" x14ac:dyDescent="0.35">
      <c r="A194" s="14" t="s">
        <v>260</v>
      </c>
      <c r="B194" s="9" t="s">
        <v>54</v>
      </c>
      <c r="C194" s="9" t="s">
        <v>267</v>
      </c>
      <c r="D194" s="10" t="s">
        <v>270</v>
      </c>
      <c r="E194" s="24">
        <v>30</v>
      </c>
      <c r="F194" s="37" t="s">
        <v>263</v>
      </c>
      <c r="G194" s="12">
        <f t="shared" si="15"/>
        <v>0.66666666666666663</v>
      </c>
      <c r="H194" s="17" t="s">
        <v>266</v>
      </c>
    </row>
    <row r="195" spans="1:8" x14ac:dyDescent="0.35">
      <c r="A195" s="8" t="s">
        <v>260</v>
      </c>
      <c r="B195" s="9" t="s">
        <v>54</v>
      </c>
      <c r="C195" s="9" t="s">
        <v>267</v>
      </c>
      <c r="D195" s="10" t="s">
        <v>271</v>
      </c>
      <c r="E195" s="12">
        <v>30</v>
      </c>
      <c r="F195" s="28" t="s">
        <v>263</v>
      </c>
      <c r="G195" s="12">
        <f t="shared" si="15"/>
        <v>0.66666666666666663</v>
      </c>
      <c r="H195" s="17" t="s">
        <v>57</v>
      </c>
    </row>
    <row r="196" spans="1:8" x14ac:dyDescent="0.35">
      <c r="A196" s="8" t="s">
        <v>260</v>
      </c>
      <c r="B196" s="9" t="s">
        <v>45</v>
      </c>
      <c r="C196" s="9" t="s">
        <v>267</v>
      </c>
      <c r="D196" s="10" t="s">
        <v>271</v>
      </c>
      <c r="E196" s="12">
        <v>30</v>
      </c>
      <c r="F196" s="28" t="s">
        <v>263</v>
      </c>
      <c r="G196" s="12">
        <f t="shared" si="15"/>
        <v>0.66666666666666663</v>
      </c>
      <c r="H196" s="17" t="s">
        <v>57</v>
      </c>
    </row>
    <row r="197" spans="1:8" x14ac:dyDescent="0.35">
      <c r="A197" s="14" t="s">
        <v>260</v>
      </c>
      <c r="B197" s="9" t="s">
        <v>45</v>
      </c>
      <c r="C197" s="9" t="s">
        <v>267</v>
      </c>
      <c r="D197" s="10" t="s">
        <v>272</v>
      </c>
      <c r="E197" s="24">
        <v>30</v>
      </c>
      <c r="F197" s="37" t="s">
        <v>263</v>
      </c>
      <c r="G197" s="12">
        <f t="shared" si="15"/>
        <v>0.66666666666666663</v>
      </c>
      <c r="H197" s="17" t="s">
        <v>266</v>
      </c>
    </row>
    <row r="198" spans="1:8" x14ac:dyDescent="0.35">
      <c r="A198" s="8" t="s">
        <v>260</v>
      </c>
      <c r="B198" s="9" t="s">
        <v>54</v>
      </c>
      <c r="C198" s="9" t="s">
        <v>273</v>
      </c>
      <c r="D198" s="10" t="s">
        <v>274</v>
      </c>
      <c r="E198" s="12">
        <v>30</v>
      </c>
      <c r="F198" s="28" t="s">
        <v>263</v>
      </c>
      <c r="G198" s="12">
        <f t="shared" si="15"/>
        <v>0.66666666666666663</v>
      </c>
      <c r="H198" s="17" t="s">
        <v>57</v>
      </c>
    </row>
    <row r="199" spans="1:8" x14ac:dyDescent="0.35">
      <c r="A199" s="16" t="s">
        <v>260</v>
      </c>
      <c r="B199" s="7" t="s">
        <v>50</v>
      </c>
      <c r="C199" s="7" t="s">
        <v>275</v>
      </c>
      <c r="D199" s="21" t="s">
        <v>276</v>
      </c>
      <c r="E199" s="20">
        <v>30</v>
      </c>
      <c r="F199" s="14" t="s">
        <v>263</v>
      </c>
      <c r="G199" s="12">
        <f t="shared" si="15"/>
        <v>0.66666666666666663</v>
      </c>
      <c r="H199" s="17" t="s">
        <v>53</v>
      </c>
    </row>
    <row r="200" spans="1:8" x14ac:dyDescent="0.35">
      <c r="A200" s="14" t="s">
        <v>260</v>
      </c>
      <c r="B200" s="9" t="s">
        <v>50</v>
      </c>
      <c r="C200" s="9" t="s">
        <v>277</v>
      </c>
      <c r="D200" s="10" t="s">
        <v>278</v>
      </c>
      <c r="E200" s="24">
        <v>30</v>
      </c>
      <c r="F200" s="37" t="s">
        <v>263</v>
      </c>
      <c r="G200" s="12">
        <f t="shared" si="15"/>
        <v>0.66666666666666663</v>
      </c>
      <c r="H200" s="17" t="s">
        <v>266</v>
      </c>
    </row>
    <row r="201" spans="1:8" x14ac:dyDescent="0.35">
      <c r="A201" s="8" t="s">
        <v>260</v>
      </c>
      <c r="B201" s="9" t="s">
        <v>54</v>
      </c>
      <c r="C201" s="9" t="s">
        <v>277</v>
      </c>
      <c r="D201" s="10" t="s">
        <v>279</v>
      </c>
      <c r="E201" s="12">
        <v>30</v>
      </c>
      <c r="F201" s="28" t="s">
        <v>263</v>
      </c>
      <c r="G201" s="12">
        <f t="shared" si="15"/>
        <v>0.66666666666666663</v>
      </c>
      <c r="H201" s="17" t="s">
        <v>57</v>
      </c>
    </row>
    <row r="202" spans="1:8" x14ac:dyDescent="0.35">
      <c r="A202" s="8" t="s">
        <v>260</v>
      </c>
      <c r="B202" s="9" t="s">
        <v>45</v>
      </c>
      <c r="C202" s="9" t="s">
        <v>277</v>
      </c>
      <c r="D202" s="10" t="s">
        <v>279</v>
      </c>
      <c r="E202" s="12">
        <v>30</v>
      </c>
      <c r="F202" s="28" t="s">
        <v>263</v>
      </c>
      <c r="G202" s="12">
        <f t="shared" si="15"/>
        <v>0.66666666666666663</v>
      </c>
      <c r="H202" s="17" t="s">
        <v>57</v>
      </c>
    </row>
    <row r="203" spans="1:8" x14ac:dyDescent="0.35">
      <c r="A203" s="14" t="s">
        <v>260</v>
      </c>
      <c r="B203" s="9" t="s">
        <v>45</v>
      </c>
      <c r="C203" s="9" t="s">
        <v>277</v>
      </c>
      <c r="D203" s="10" t="s">
        <v>280</v>
      </c>
      <c r="E203" s="24">
        <v>30</v>
      </c>
      <c r="F203" s="37" t="s">
        <v>263</v>
      </c>
      <c r="G203" s="12">
        <f t="shared" si="15"/>
        <v>0.66666666666666663</v>
      </c>
      <c r="H203" s="17" t="s">
        <v>266</v>
      </c>
    </row>
    <row r="204" spans="1:8" x14ac:dyDescent="0.35">
      <c r="A204" s="14" t="s">
        <v>260</v>
      </c>
      <c r="B204" s="9" t="s">
        <v>54</v>
      </c>
      <c r="C204" s="9" t="s">
        <v>277</v>
      </c>
      <c r="D204" s="10" t="s">
        <v>281</v>
      </c>
      <c r="E204" s="24">
        <v>30</v>
      </c>
      <c r="F204" s="37" t="s">
        <v>263</v>
      </c>
      <c r="G204" s="12">
        <f t="shared" si="15"/>
        <v>0.66666666666666663</v>
      </c>
      <c r="H204" s="17" t="s">
        <v>266</v>
      </c>
    </row>
    <row r="205" spans="1:8" x14ac:dyDescent="0.35">
      <c r="A205" s="8" t="s">
        <v>260</v>
      </c>
      <c r="B205" s="9" t="s">
        <v>54</v>
      </c>
      <c r="C205" s="9" t="s">
        <v>277</v>
      </c>
      <c r="D205" s="10" t="s">
        <v>282</v>
      </c>
      <c r="E205" s="12">
        <v>30</v>
      </c>
      <c r="F205" s="28" t="s">
        <v>263</v>
      </c>
      <c r="G205" s="12">
        <f t="shared" si="15"/>
        <v>0.66666666666666663</v>
      </c>
      <c r="H205" s="17" t="s">
        <v>57</v>
      </c>
    </row>
    <row r="206" spans="1:8" x14ac:dyDescent="0.35">
      <c r="A206" s="14" t="s">
        <v>260</v>
      </c>
      <c r="B206" s="9" t="s">
        <v>50</v>
      </c>
      <c r="C206" s="9" t="s">
        <v>277</v>
      </c>
      <c r="D206" s="10" t="s">
        <v>283</v>
      </c>
      <c r="E206" s="24">
        <v>30</v>
      </c>
      <c r="F206" s="37" t="s">
        <v>263</v>
      </c>
      <c r="G206" s="12">
        <f t="shared" si="15"/>
        <v>0.66666666666666663</v>
      </c>
      <c r="H206" s="17" t="s">
        <v>266</v>
      </c>
    </row>
    <row r="207" spans="1:8" x14ac:dyDescent="0.35">
      <c r="A207" s="8" t="s">
        <v>260</v>
      </c>
      <c r="B207" s="9" t="s">
        <v>54</v>
      </c>
      <c r="C207" s="9" t="s">
        <v>284</v>
      </c>
      <c r="D207" s="10" t="s">
        <v>285</v>
      </c>
      <c r="E207" s="12">
        <v>30</v>
      </c>
      <c r="F207" s="28" t="s">
        <v>263</v>
      </c>
      <c r="G207" s="12">
        <f t="shared" si="15"/>
        <v>0.66666666666666663</v>
      </c>
      <c r="H207" s="17" t="s">
        <v>57</v>
      </c>
    </row>
    <row r="208" spans="1:8" x14ac:dyDescent="0.35">
      <c r="A208" s="14" t="s">
        <v>260</v>
      </c>
      <c r="B208" s="9" t="s">
        <v>50</v>
      </c>
      <c r="C208" s="9" t="s">
        <v>286</v>
      </c>
      <c r="D208" s="10" t="s">
        <v>287</v>
      </c>
      <c r="E208" s="24">
        <v>30</v>
      </c>
      <c r="F208" s="37" t="s">
        <v>263</v>
      </c>
      <c r="G208" s="12">
        <f t="shared" si="15"/>
        <v>0.66666666666666663</v>
      </c>
      <c r="H208" s="17" t="s">
        <v>266</v>
      </c>
    </row>
    <row r="209" spans="1:8" x14ac:dyDescent="0.35">
      <c r="A209" s="14" t="s">
        <v>260</v>
      </c>
      <c r="B209" s="9" t="s">
        <v>45</v>
      </c>
      <c r="C209" s="9" t="s">
        <v>286</v>
      </c>
      <c r="D209" s="10" t="s">
        <v>288</v>
      </c>
      <c r="E209" s="24">
        <v>30</v>
      </c>
      <c r="F209" s="37" t="s">
        <v>263</v>
      </c>
      <c r="G209" s="12">
        <f t="shared" si="15"/>
        <v>0.66666666666666663</v>
      </c>
      <c r="H209" s="17" t="s">
        <v>266</v>
      </c>
    </row>
    <row r="210" spans="1:8" x14ac:dyDescent="0.35">
      <c r="A210" s="14" t="s">
        <v>260</v>
      </c>
      <c r="B210" s="9" t="s">
        <v>45</v>
      </c>
      <c r="C210" s="9" t="s">
        <v>286</v>
      </c>
      <c r="D210" s="10" t="s">
        <v>289</v>
      </c>
      <c r="E210" s="24">
        <v>30</v>
      </c>
      <c r="F210" s="37" t="s">
        <v>263</v>
      </c>
      <c r="G210" s="12">
        <f t="shared" si="15"/>
        <v>0.66666666666666663</v>
      </c>
      <c r="H210" s="17" t="s">
        <v>266</v>
      </c>
    </row>
    <row r="211" spans="1:8" x14ac:dyDescent="0.35">
      <c r="A211" s="14" t="s">
        <v>260</v>
      </c>
      <c r="B211" s="9" t="s">
        <v>50</v>
      </c>
      <c r="C211" s="9" t="s">
        <v>286</v>
      </c>
      <c r="D211" s="10" t="s">
        <v>290</v>
      </c>
      <c r="E211" s="24">
        <v>30</v>
      </c>
      <c r="F211" s="37" t="s">
        <v>263</v>
      </c>
      <c r="G211" s="12">
        <f t="shared" si="15"/>
        <v>0.66666666666666663</v>
      </c>
      <c r="H211" s="17" t="s">
        <v>266</v>
      </c>
    </row>
    <row r="212" spans="1:8" x14ac:dyDescent="0.35">
      <c r="A212" s="8" t="s">
        <v>260</v>
      </c>
      <c r="B212" s="9" t="s">
        <v>54</v>
      </c>
      <c r="C212" s="9" t="s">
        <v>286</v>
      </c>
      <c r="D212" s="10" t="s">
        <v>291</v>
      </c>
      <c r="E212" s="12">
        <v>30</v>
      </c>
      <c r="F212" s="28" t="s">
        <v>263</v>
      </c>
      <c r="G212" s="12">
        <f t="shared" si="15"/>
        <v>0.66666666666666663</v>
      </c>
      <c r="H212" s="17" t="s">
        <v>57</v>
      </c>
    </row>
    <row r="213" spans="1:8" x14ac:dyDescent="0.35">
      <c r="A213" s="14" t="s">
        <v>260</v>
      </c>
      <c r="B213" s="9" t="s">
        <v>50</v>
      </c>
      <c r="C213" s="9" t="s">
        <v>286</v>
      </c>
      <c r="D213" s="10" t="s">
        <v>292</v>
      </c>
      <c r="E213" s="24">
        <v>30</v>
      </c>
      <c r="F213" s="37" t="s">
        <v>263</v>
      </c>
      <c r="G213" s="12">
        <f t="shared" si="15"/>
        <v>0.66666666666666663</v>
      </c>
      <c r="H213" s="17" t="s">
        <v>266</v>
      </c>
    </row>
    <row r="214" spans="1:8" x14ac:dyDescent="0.35">
      <c r="A214" s="14" t="s">
        <v>260</v>
      </c>
      <c r="B214" s="9" t="s">
        <v>50</v>
      </c>
      <c r="C214" s="9" t="s">
        <v>293</v>
      </c>
      <c r="D214" s="10" t="s">
        <v>294</v>
      </c>
      <c r="E214" s="24">
        <v>30</v>
      </c>
      <c r="F214" s="37" t="s">
        <v>263</v>
      </c>
      <c r="G214" s="12">
        <f t="shared" si="15"/>
        <v>0.66666666666666663</v>
      </c>
      <c r="H214" s="17" t="s">
        <v>266</v>
      </c>
    </row>
    <row r="215" spans="1:8" x14ac:dyDescent="0.35">
      <c r="A215" s="14" t="s">
        <v>260</v>
      </c>
      <c r="B215" s="9" t="s">
        <v>50</v>
      </c>
      <c r="C215" s="9" t="s">
        <v>293</v>
      </c>
      <c r="D215" s="10" t="s">
        <v>295</v>
      </c>
      <c r="E215" s="24">
        <v>30</v>
      </c>
      <c r="F215" s="37" t="s">
        <v>263</v>
      </c>
      <c r="G215" s="12">
        <f t="shared" si="15"/>
        <v>0.66666666666666663</v>
      </c>
      <c r="H215" s="17" t="s">
        <v>266</v>
      </c>
    </row>
    <row r="216" spans="1:8" x14ac:dyDescent="0.35">
      <c r="A216" s="14" t="s">
        <v>260</v>
      </c>
      <c r="B216" s="9" t="s">
        <v>45</v>
      </c>
      <c r="C216" s="9" t="s">
        <v>293</v>
      </c>
      <c r="D216" s="10" t="s">
        <v>296</v>
      </c>
      <c r="E216" s="24">
        <v>30</v>
      </c>
      <c r="F216" s="37" t="s">
        <v>263</v>
      </c>
      <c r="G216" s="12">
        <f t="shared" si="15"/>
        <v>0.66666666666666663</v>
      </c>
      <c r="H216" s="17" t="s">
        <v>266</v>
      </c>
    </row>
    <row r="217" spans="1:8" x14ac:dyDescent="0.35">
      <c r="A217" s="16" t="s">
        <v>260</v>
      </c>
      <c r="B217" s="7" t="s">
        <v>45</v>
      </c>
      <c r="C217" s="7" t="s">
        <v>293</v>
      </c>
      <c r="D217" s="21" t="s">
        <v>297</v>
      </c>
      <c r="E217" s="24">
        <v>30</v>
      </c>
      <c r="F217" s="14" t="s">
        <v>263</v>
      </c>
      <c r="G217" s="12">
        <f t="shared" si="15"/>
        <v>0.66666666666666663</v>
      </c>
      <c r="H217" s="18" t="s">
        <v>269</v>
      </c>
    </row>
    <row r="218" spans="1:8" x14ac:dyDescent="0.35">
      <c r="A218" s="14" t="s">
        <v>260</v>
      </c>
      <c r="B218" s="9" t="s">
        <v>50</v>
      </c>
      <c r="C218" s="9" t="s">
        <v>293</v>
      </c>
      <c r="D218" s="10" t="s">
        <v>298</v>
      </c>
      <c r="E218" s="24">
        <v>30</v>
      </c>
      <c r="F218" s="37" t="s">
        <v>263</v>
      </c>
      <c r="G218" s="12">
        <f t="shared" si="15"/>
        <v>0.66666666666666663</v>
      </c>
      <c r="H218" s="17" t="s">
        <v>266</v>
      </c>
    </row>
    <row r="219" spans="1:8" x14ac:dyDescent="0.35">
      <c r="A219" s="14" t="s">
        <v>260</v>
      </c>
      <c r="B219" s="9" t="s">
        <v>50</v>
      </c>
      <c r="C219" s="9" t="s">
        <v>293</v>
      </c>
      <c r="D219" s="10" t="s">
        <v>299</v>
      </c>
      <c r="E219" s="24">
        <v>30</v>
      </c>
      <c r="F219" s="37" t="s">
        <v>263</v>
      </c>
      <c r="G219" s="12">
        <f t="shared" si="15"/>
        <v>0.66666666666666663</v>
      </c>
      <c r="H219" s="17" t="s">
        <v>266</v>
      </c>
    </row>
    <row r="220" spans="1:8" x14ac:dyDescent="0.35">
      <c r="A220" s="8" t="s">
        <v>260</v>
      </c>
      <c r="B220" s="9" t="s">
        <v>54</v>
      </c>
      <c r="C220" s="9" t="s">
        <v>293</v>
      </c>
      <c r="D220" s="10" t="s">
        <v>300</v>
      </c>
      <c r="E220" s="12">
        <v>30</v>
      </c>
      <c r="F220" s="28" t="s">
        <v>263</v>
      </c>
      <c r="G220" s="12">
        <f t="shared" si="15"/>
        <v>0.66666666666666663</v>
      </c>
      <c r="H220" s="17" t="s">
        <v>57</v>
      </c>
    </row>
    <row r="221" spans="1:8" x14ac:dyDescent="0.35">
      <c r="A221" s="8" t="s">
        <v>260</v>
      </c>
      <c r="B221" s="9" t="s">
        <v>136</v>
      </c>
      <c r="C221" s="9" t="s">
        <v>293</v>
      </c>
      <c r="D221" s="10" t="s">
        <v>301</v>
      </c>
      <c r="E221" s="12">
        <v>30</v>
      </c>
      <c r="F221" s="28" t="s">
        <v>263</v>
      </c>
      <c r="G221" s="12">
        <f t="shared" si="15"/>
        <v>0.66666666666666663</v>
      </c>
      <c r="H221" s="17" t="s">
        <v>57</v>
      </c>
    </row>
    <row r="222" spans="1:8" x14ac:dyDescent="0.35">
      <c r="A222" s="14" t="s">
        <v>260</v>
      </c>
      <c r="B222" s="9" t="s">
        <v>50</v>
      </c>
      <c r="C222" s="9" t="s">
        <v>293</v>
      </c>
      <c r="D222" s="10" t="s">
        <v>302</v>
      </c>
      <c r="E222" s="24">
        <v>30</v>
      </c>
      <c r="F222" s="37" t="s">
        <v>263</v>
      </c>
      <c r="G222" s="12">
        <f t="shared" si="15"/>
        <v>0.66666666666666663</v>
      </c>
      <c r="H222" s="17" t="s">
        <v>266</v>
      </c>
    </row>
    <row r="223" spans="1:8" x14ac:dyDescent="0.35">
      <c r="A223" s="14" t="s">
        <v>260</v>
      </c>
      <c r="B223" s="9" t="s">
        <v>54</v>
      </c>
      <c r="C223" s="9" t="s">
        <v>293</v>
      </c>
      <c r="D223" s="10" t="s">
        <v>303</v>
      </c>
      <c r="E223" s="24">
        <v>30</v>
      </c>
      <c r="F223" s="37" t="s">
        <v>263</v>
      </c>
      <c r="G223" s="12">
        <f t="shared" si="15"/>
        <v>0.66666666666666663</v>
      </c>
      <c r="H223" s="17" t="s">
        <v>266</v>
      </c>
    </row>
    <row r="224" spans="1:8" x14ac:dyDescent="0.35">
      <c r="A224" s="14" t="s">
        <v>260</v>
      </c>
      <c r="B224" s="9" t="s">
        <v>54</v>
      </c>
      <c r="C224" s="9" t="s">
        <v>293</v>
      </c>
      <c r="D224" s="10" t="s">
        <v>304</v>
      </c>
      <c r="E224" s="24">
        <v>30</v>
      </c>
      <c r="F224" s="37" t="s">
        <v>263</v>
      </c>
      <c r="G224" s="12">
        <f t="shared" si="15"/>
        <v>0.66666666666666663</v>
      </c>
      <c r="H224" s="17" t="s">
        <v>266</v>
      </c>
    </row>
    <row r="225" spans="1:8" x14ac:dyDescent="0.35">
      <c r="A225" s="16" t="s">
        <v>260</v>
      </c>
      <c r="B225" s="7" t="s">
        <v>54</v>
      </c>
      <c r="C225" s="7" t="s">
        <v>293</v>
      </c>
      <c r="D225" s="21" t="s">
        <v>305</v>
      </c>
      <c r="E225" s="20">
        <v>30</v>
      </c>
      <c r="F225" s="14" t="s">
        <v>263</v>
      </c>
      <c r="G225" s="12">
        <f t="shared" ref="G225:G257" si="16">20/E225</f>
        <v>0.66666666666666663</v>
      </c>
      <c r="H225" s="17" t="s">
        <v>53</v>
      </c>
    </row>
    <row r="226" spans="1:8" x14ac:dyDescent="0.35">
      <c r="A226" s="14" t="s">
        <v>260</v>
      </c>
      <c r="B226" s="10" t="s">
        <v>54</v>
      </c>
      <c r="C226" s="10" t="s">
        <v>293</v>
      </c>
      <c r="D226" s="10" t="s">
        <v>306</v>
      </c>
      <c r="E226" s="24">
        <v>30</v>
      </c>
      <c r="F226" s="37" t="s">
        <v>263</v>
      </c>
      <c r="G226" s="12">
        <f t="shared" si="16"/>
        <v>0.66666666666666663</v>
      </c>
      <c r="H226" s="17" t="s">
        <v>266</v>
      </c>
    </row>
    <row r="227" spans="1:8" x14ac:dyDescent="0.35">
      <c r="A227" s="14" t="s">
        <v>260</v>
      </c>
      <c r="B227" s="10" t="s">
        <v>54</v>
      </c>
      <c r="C227" s="10" t="s">
        <v>293</v>
      </c>
      <c r="D227" s="10" t="s">
        <v>307</v>
      </c>
      <c r="E227" s="24">
        <v>30</v>
      </c>
      <c r="F227" s="37" t="s">
        <v>263</v>
      </c>
      <c r="G227" s="12">
        <f t="shared" si="16"/>
        <v>0.66666666666666663</v>
      </c>
      <c r="H227" s="17" t="s">
        <v>266</v>
      </c>
    </row>
    <row r="228" spans="1:8" s="13" customFormat="1" x14ac:dyDescent="0.35">
      <c r="A228" s="14" t="s">
        <v>260</v>
      </c>
      <c r="B228" s="10" t="s">
        <v>54</v>
      </c>
      <c r="C228" s="10" t="s">
        <v>293</v>
      </c>
      <c r="D228" s="10" t="s">
        <v>308</v>
      </c>
      <c r="E228" s="24">
        <v>30</v>
      </c>
      <c r="F228" s="37" t="s">
        <v>263</v>
      </c>
      <c r="G228" s="12">
        <f t="shared" si="16"/>
        <v>0.66666666666666663</v>
      </c>
      <c r="H228" s="17" t="s">
        <v>266</v>
      </c>
    </row>
    <row r="229" spans="1:8" s="13" customFormat="1" x14ac:dyDescent="0.35">
      <c r="A229" s="14" t="s">
        <v>260</v>
      </c>
      <c r="B229" s="10" t="s">
        <v>54</v>
      </c>
      <c r="C229" s="10" t="s">
        <v>293</v>
      </c>
      <c r="D229" s="10" t="s">
        <v>309</v>
      </c>
      <c r="E229" s="24">
        <v>30</v>
      </c>
      <c r="F229" s="37" t="s">
        <v>263</v>
      </c>
      <c r="G229" s="12">
        <f t="shared" si="16"/>
        <v>0.66666666666666663</v>
      </c>
      <c r="H229" s="17" t="s">
        <v>266</v>
      </c>
    </row>
    <row r="230" spans="1:8" s="13" customFormat="1" x14ac:dyDescent="0.35">
      <c r="A230" s="14" t="s">
        <v>260</v>
      </c>
      <c r="B230" s="10" t="s">
        <v>50</v>
      </c>
      <c r="C230" s="10" t="s">
        <v>310</v>
      </c>
      <c r="D230" s="10" t="s">
        <v>311</v>
      </c>
      <c r="E230" s="24">
        <v>30</v>
      </c>
      <c r="F230" s="37" t="s">
        <v>263</v>
      </c>
      <c r="G230" s="12">
        <f t="shared" si="16"/>
        <v>0.66666666666666663</v>
      </c>
      <c r="H230" s="17" t="s">
        <v>266</v>
      </c>
    </row>
    <row r="231" spans="1:8" s="13" customFormat="1" x14ac:dyDescent="0.35">
      <c r="A231" s="14" t="s">
        <v>260</v>
      </c>
      <c r="B231" s="10" t="s">
        <v>45</v>
      </c>
      <c r="C231" s="10" t="s">
        <v>310</v>
      </c>
      <c r="D231" s="10" t="s">
        <v>312</v>
      </c>
      <c r="E231" s="24">
        <v>30</v>
      </c>
      <c r="F231" s="37" t="s">
        <v>263</v>
      </c>
      <c r="G231" s="12">
        <f t="shared" si="16"/>
        <v>0.66666666666666663</v>
      </c>
      <c r="H231" s="17" t="s">
        <v>266</v>
      </c>
    </row>
    <row r="232" spans="1:8" s="13" customFormat="1" x14ac:dyDescent="0.35">
      <c r="A232" s="14" t="s">
        <v>260</v>
      </c>
      <c r="B232" s="10" t="s">
        <v>136</v>
      </c>
      <c r="C232" s="10" t="s">
        <v>310</v>
      </c>
      <c r="D232" s="10" t="s">
        <v>313</v>
      </c>
      <c r="E232" s="24">
        <v>30</v>
      </c>
      <c r="F232" s="37" t="s">
        <v>263</v>
      </c>
      <c r="G232" s="12">
        <f t="shared" si="16"/>
        <v>0.66666666666666663</v>
      </c>
      <c r="H232" s="17" t="s">
        <v>266</v>
      </c>
    </row>
    <row r="233" spans="1:8" s="13" customFormat="1" x14ac:dyDescent="0.35">
      <c r="A233" s="14" t="s">
        <v>260</v>
      </c>
      <c r="B233" s="10" t="s">
        <v>98</v>
      </c>
      <c r="C233" s="10" t="s">
        <v>310</v>
      </c>
      <c r="D233" s="10" t="s">
        <v>313</v>
      </c>
      <c r="E233" s="24">
        <v>30</v>
      </c>
      <c r="F233" s="37" t="s">
        <v>263</v>
      </c>
      <c r="G233" s="12">
        <f t="shared" ref="G233" si="17">20/E233</f>
        <v>0.66666666666666663</v>
      </c>
      <c r="H233" s="17" t="s">
        <v>266</v>
      </c>
    </row>
    <row r="234" spans="1:8" s="13" customFormat="1" x14ac:dyDescent="0.35">
      <c r="A234" s="14" t="s">
        <v>260</v>
      </c>
      <c r="B234" s="10" t="s">
        <v>45</v>
      </c>
      <c r="C234" s="10" t="s">
        <v>310</v>
      </c>
      <c r="D234" s="10" t="s">
        <v>314</v>
      </c>
      <c r="E234" s="24">
        <v>30</v>
      </c>
      <c r="F234" s="37" t="s">
        <v>263</v>
      </c>
      <c r="G234" s="12">
        <f t="shared" si="16"/>
        <v>0.66666666666666663</v>
      </c>
      <c r="H234" s="17" t="s">
        <v>266</v>
      </c>
    </row>
    <row r="235" spans="1:8" s="13" customFormat="1" x14ac:dyDescent="0.35">
      <c r="A235" s="14" t="s">
        <v>260</v>
      </c>
      <c r="B235" s="10" t="s">
        <v>98</v>
      </c>
      <c r="C235" s="10" t="s">
        <v>310</v>
      </c>
      <c r="D235" s="10" t="s">
        <v>315</v>
      </c>
      <c r="E235" s="24">
        <v>30</v>
      </c>
      <c r="F235" s="37" t="s">
        <v>263</v>
      </c>
      <c r="G235" s="12">
        <f t="shared" si="16"/>
        <v>0.66666666666666663</v>
      </c>
      <c r="H235" s="17" t="s">
        <v>266</v>
      </c>
    </row>
    <row r="236" spans="1:8" s="13" customFormat="1" x14ac:dyDescent="0.35">
      <c r="A236" s="14" t="s">
        <v>260</v>
      </c>
      <c r="B236" s="10" t="s">
        <v>50</v>
      </c>
      <c r="C236" s="10" t="s">
        <v>310</v>
      </c>
      <c r="D236" s="10" t="s">
        <v>316</v>
      </c>
      <c r="E236" s="24">
        <v>30</v>
      </c>
      <c r="F236" s="37" t="s">
        <v>263</v>
      </c>
      <c r="G236" s="12">
        <f t="shared" si="16"/>
        <v>0.66666666666666663</v>
      </c>
      <c r="H236" s="17" t="s">
        <v>266</v>
      </c>
    </row>
    <row r="237" spans="1:8" s="13" customFormat="1" x14ac:dyDescent="0.35">
      <c r="A237" s="14" t="s">
        <v>260</v>
      </c>
      <c r="B237" s="10" t="s">
        <v>45</v>
      </c>
      <c r="C237" s="10" t="s">
        <v>310</v>
      </c>
      <c r="D237" s="10" t="s">
        <v>317</v>
      </c>
      <c r="E237" s="24">
        <v>30</v>
      </c>
      <c r="F237" s="37" t="s">
        <v>263</v>
      </c>
      <c r="G237" s="12">
        <f t="shared" si="16"/>
        <v>0.66666666666666663</v>
      </c>
      <c r="H237" s="17" t="s">
        <v>266</v>
      </c>
    </row>
    <row r="238" spans="1:8" s="13" customFormat="1" x14ac:dyDescent="0.35">
      <c r="A238" s="14" t="s">
        <v>260</v>
      </c>
      <c r="B238" s="10" t="s">
        <v>50</v>
      </c>
      <c r="C238" s="10" t="s">
        <v>310</v>
      </c>
      <c r="D238" s="10" t="s">
        <v>318</v>
      </c>
      <c r="E238" s="24">
        <v>30</v>
      </c>
      <c r="F238" s="37" t="s">
        <v>263</v>
      </c>
      <c r="G238" s="12">
        <f t="shared" si="16"/>
        <v>0.66666666666666663</v>
      </c>
      <c r="H238" s="17" t="s">
        <v>266</v>
      </c>
    </row>
    <row r="239" spans="1:8" s="13" customFormat="1" x14ac:dyDescent="0.35">
      <c r="A239" s="14" t="s">
        <v>260</v>
      </c>
      <c r="B239" s="10" t="s">
        <v>45</v>
      </c>
      <c r="C239" s="10" t="s">
        <v>310</v>
      </c>
      <c r="D239" s="10" t="s">
        <v>319</v>
      </c>
      <c r="E239" s="24">
        <v>30</v>
      </c>
      <c r="F239" s="37" t="s">
        <v>263</v>
      </c>
      <c r="G239" s="12">
        <f t="shared" si="16"/>
        <v>0.66666666666666663</v>
      </c>
      <c r="H239" s="17" t="s">
        <v>266</v>
      </c>
    </row>
    <row r="240" spans="1:8" s="13" customFormat="1" x14ac:dyDescent="0.35">
      <c r="A240" s="14" t="s">
        <v>260</v>
      </c>
      <c r="B240" s="10" t="s">
        <v>54</v>
      </c>
      <c r="C240" s="10" t="s">
        <v>310</v>
      </c>
      <c r="D240" s="10" t="s">
        <v>320</v>
      </c>
      <c r="E240" s="24">
        <v>30</v>
      </c>
      <c r="F240" s="37" t="s">
        <v>263</v>
      </c>
      <c r="G240" s="12">
        <f t="shared" si="16"/>
        <v>0.66666666666666663</v>
      </c>
      <c r="H240" s="17" t="s">
        <v>266</v>
      </c>
    </row>
    <row r="241" spans="1:8" s="13" customFormat="1" x14ac:dyDescent="0.35">
      <c r="A241" s="14" t="s">
        <v>260</v>
      </c>
      <c r="B241" s="10" t="s">
        <v>54</v>
      </c>
      <c r="C241" s="10" t="s">
        <v>310</v>
      </c>
      <c r="D241" s="10" t="s">
        <v>321</v>
      </c>
      <c r="E241" s="24">
        <v>30</v>
      </c>
      <c r="F241" s="37" t="s">
        <v>263</v>
      </c>
      <c r="G241" s="12">
        <f t="shared" si="16"/>
        <v>0.66666666666666663</v>
      </c>
      <c r="H241" s="17" t="s">
        <v>266</v>
      </c>
    </row>
    <row r="242" spans="1:8" s="13" customFormat="1" x14ac:dyDescent="0.35">
      <c r="A242" s="14" t="s">
        <v>260</v>
      </c>
      <c r="B242" s="10" t="s">
        <v>54</v>
      </c>
      <c r="C242" s="10" t="s">
        <v>310</v>
      </c>
      <c r="D242" s="10" t="s">
        <v>322</v>
      </c>
      <c r="E242" s="24">
        <v>30</v>
      </c>
      <c r="F242" s="37" t="s">
        <v>263</v>
      </c>
      <c r="G242" s="12">
        <f t="shared" si="16"/>
        <v>0.66666666666666663</v>
      </c>
      <c r="H242" s="17" t="s">
        <v>266</v>
      </c>
    </row>
    <row r="243" spans="1:8" s="13" customFormat="1" x14ac:dyDescent="0.35">
      <c r="A243" s="14" t="s">
        <v>260</v>
      </c>
      <c r="B243" s="10" t="s">
        <v>54</v>
      </c>
      <c r="C243" s="10" t="s">
        <v>310</v>
      </c>
      <c r="D243" s="10" t="s">
        <v>323</v>
      </c>
      <c r="E243" s="24">
        <v>30</v>
      </c>
      <c r="F243" s="37" t="s">
        <v>263</v>
      </c>
      <c r="G243" s="12">
        <f t="shared" si="16"/>
        <v>0.66666666666666663</v>
      </c>
      <c r="H243" s="17" t="s">
        <v>266</v>
      </c>
    </row>
    <row r="244" spans="1:8" s="13" customFormat="1" x14ac:dyDescent="0.35">
      <c r="A244" s="14" t="s">
        <v>260</v>
      </c>
      <c r="B244" s="10" t="s">
        <v>54</v>
      </c>
      <c r="C244" s="10" t="s">
        <v>310</v>
      </c>
      <c r="D244" s="10" t="s">
        <v>324</v>
      </c>
      <c r="E244" s="24">
        <v>30</v>
      </c>
      <c r="F244" s="37" t="s">
        <v>263</v>
      </c>
      <c r="G244" s="12">
        <f t="shared" si="16"/>
        <v>0.66666666666666663</v>
      </c>
      <c r="H244" s="17" t="s">
        <v>266</v>
      </c>
    </row>
    <row r="245" spans="1:8" s="13" customFormat="1" x14ac:dyDescent="0.35">
      <c r="A245" s="14" t="s">
        <v>260</v>
      </c>
      <c r="B245" s="10" t="s">
        <v>54</v>
      </c>
      <c r="C245" s="10" t="s">
        <v>310</v>
      </c>
      <c r="D245" s="10" t="s">
        <v>325</v>
      </c>
      <c r="E245" s="24">
        <v>30</v>
      </c>
      <c r="F245" s="37" t="s">
        <v>263</v>
      </c>
      <c r="G245" s="12">
        <f t="shared" si="16"/>
        <v>0.66666666666666663</v>
      </c>
      <c r="H245" s="17" t="s">
        <v>266</v>
      </c>
    </row>
    <row r="246" spans="1:8" s="13" customFormat="1" x14ac:dyDescent="0.35">
      <c r="A246" s="14" t="s">
        <v>260</v>
      </c>
      <c r="B246" s="10" t="s">
        <v>54</v>
      </c>
      <c r="C246" s="10" t="s">
        <v>310</v>
      </c>
      <c r="D246" s="10" t="s">
        <v>326</v>
      </c>
      <c r="E246" s="24">
        <v>30</v>
      </c>
      <c r="F246" s="37" t="s">
        <v>263</v>
      </c>
      <c r="G246" s="12">
        <f t="shared" si="16"/>
        <v>0.66666666666666663</v>
      </c>
      <c r="H246" s="17" t="s">
        <v>266</v>
      </c>
    </row>
    <row r="247" spans="1:8" s="13" customFormat="1" x14ac:dyDescent="0.35">
      <c r="A247" s="14" t="s">
        <v>260</v>
      </c>
      <c r="B247" s="10" t="s">
        <v>54</v>
      </c>
      <c r="C247" s="10" t="s">
        <v>310</v>
      </c>
      <c r="D247" s="10" t="s">
        <v>327</v>
      </c>
      <c r="E247" s="24">
        <v>30</v>
      </c>
      <c r="F247" s="37" t="s">
        <v>263</v>
      </c>
      <c r="G247" s="12">
        <f t="shared" si="16"/>
        <v>0.66666666666666663</v>
      </c>
      <c r="H247" s="17" t="s">
        <v>266</v>
      </c>
    </row>
    <row r="248" spans="1:8" s="13" customFormat="1" x14ac:dyDescent="0.35">
      <c r="A248" s="14" t="s">
        <v>260</v>
      </c>
      <c r="B248" s="10" t="s">
        <v>45</v>
      </c>
      <c r="C248" s="10" t="s">
        <v>310</v>
      </c>
      <c r="D248" s="10" t="s">
        <v>327</v>
      </c>
      <c r="E248" s="24">
        <v>30</v>
      </c>
      <c r="F248" s="37" t="s">
        <v>263</v>
      </c>
      <c r="G248" s="12">
        <f t="shared" si="16"/>
        <v>0.66666666666666663</v>
      </c>
      <c r="H248" s="17" t="s">
        <v>266</v>
      </c>
    </row>
    <row r="249" spans="1:8" s="13" customFormat="1" x14ac:dyDescent="0.35">
      <c r="A249" s="14" t="s">
        <v>260</v>
      </c>
      <c r="B249" s="10" t="s">
        <v>54</v>
      </c>
      <c r="C249" s="10" t="s">
        <v>310</v>
      </c>
      <c r="D249" s="10" t="s">
        <v>328</v>
      </c>
      <c r="E249" s="24">
        <v>30</v>
      </c>
      <c r="F249" s="37" t="s">
        <v>263</v>
      </c>
      <c r="G249" s="12">
        <f t="shared" si="16"/>
        <v>0.66666666666666663</v>
      </c>
      <c r="H249" s="17" t="s">
        <v>266</v>
      </c>
    </row>
    <row r="250" spans="1:8" s="13" customFormat="1" x14ac:dyDescent="0.35">
      <c r="A250" s="14" t="s">
        <v>260</v>
      </c>
      <c r="B250" s="10" t="s">
        <v>54</v>
      </c>
      <c r="C250" s="10" t="s">
        <v>310</v>
      </c>
      <c r="D250" s="10" t="s">
        <v>329</v>
      </c>
      <c r="E250" s="24">
        <v>30</v>
      </c>
      <c r="F250" s="37" t="s">
        <v>263</v>
      </c>
      <c r="G250" s="12">
        <f t="shared" si="16"/>
        <v>0.66666666666666663</v>
      </c>
      <c r="H250" s="17" t="s">
        <v>266</v>
      </c>
    </row>
    <row r="251" spans="1:8" s="13" customFormat="1" x14ac:dyDescent="0.35">
      <c r="A251" s="14" t="s">
        <v>260</v>
      </c>
      <c r="B251" s="10" t="s">
        <v>54</v>
      </c>
      <c r="C251" s="10" t="s">
        <v>310</v>
      </c>
      <c r="D251" s="10" t="s">
        <v>330</v>
      </c>
      <c r="E251" s="24">
        <v>30</v>
      </c>
      <c r="F251" s="37" t="s">
        <v>263</v>
      </c>
      <c r="G251" s="12">
        <f t="shared" si="16"/>
        <v>0.66666666666666663</v>
      </c>
      <c r="H251" s="17" t="s">
        <v>266</v>
      </c>
    </row>
    <row r="252" spans="1:8" s="13" customFormat="1" x14ac:dyDescent="0.35">
      <c r="A252" s="14" t="s">
        <v>260</v>
      </c>
      <c r="B252" s="10" t="s">
        <v>54</v>
      </c>
      <c r="C252" s="10" t="s">
        <v>310</v>
      </c>
      <c r="D252" s="10" t="s">
        <v>331</v>
      </c>
      <c r="E252" s="24">
        <v>30</v>
      </c>
      <c r="F252" s="37" t="s">
        <v>263</v>
      </c>
      <c r="G252" s="12">
        <f t="shared" si="16"/>
        <v>0.66666666666666663</v>
      </c>
      <c r="H252" s="17" t="s">
        <v>266</v>
      </c>
    </row>
    <row r="253" spans="1:8" s="13" customFormat="1" x14ac:dyDescent="0.35">
      <c r="A253" s="14" t="s">
        <v>260</v>
      </c>
      <c r="B253" s="10" t="s">
        <v>54</v>
      </c>
      <c r="C253" s="10" t="s">
        <v>310</v>
      </c>
      <c r="D253" s="10" t="s">
        <v>332</v>
      </c>
      <c r="E253" s="24">
        <v>30</v>
      </c>
      <c r="F253" s="37" t="s">
        <v>263</v>
      </c>
      <c r="G253" s="12">
        <f t="shared" si="16"/>
        <v>0.66666666666666663</v>
      </c>
      <c r="H253" s="17" t="s">
        <v>266</v>
      </c>
    </row>
    <row r="254" spans="1:8" s="13" customFormat="1" x14ac:dyDescent="0.35">
      <c r="A254" s="14" t="s">
        <v>260</v>
      </c>
      <c r="B254" s="10" t="s">
        <v>54</v>
      </c>
      <c r="C254" s="10" t="s">
        <v>310</v>
      </c>
      <c r="D254" s="10" t="s">
        <v>333</v>
      </c>
      <c r="E254" s="24">
        <v>30</v>
      </c>
      <c r="F254" s="37" t="s">
        <v>263</v>
      </c>
      <c r="G254" s="12">
        <f t="shared" si="16"/>
        <v>0.66666666666666663</v>
      </c>
      <c r="H254" s="17" t="s">
        <v>266</v>
      </c>
    </row>
    <row r="255" spans="1:8" s="13" customFormat="1" x14ac:dyDescent="0.35">
      <c r="A255" s="14" t="s">
        <v>260</v>
      </c>
      <c r="B255" s="10" t="s">
        <v>54</v>
      </c>
      <c r="C255" s="10" t="s">
        <v>310</v>
      </c>
      <c r="D255" s="10" t="s">
        <v>334</v>
      </c>
      <c r="E255" s="24">
        <v>30</v>
      </c>
      <c r="F255" s="37" t="s">
        <v>263</v>
      </c>
      <c r="G255" s="12">
        <f t="shared" si="16"/>
        <v>0.66666666666666663</v>
      </c>
      <c r="H255" s="17" t="s">
        <v>266</v>
      </c>
    </row>
    <row r="256" spans="1:8" s="13" customFormat="1" x14ac:dyDescent="0.35">
      <c r="A256" s="14" t="s">
        <v>260</v>
      </c>
      <c r="B256" s="10" t="s">
        <v>54</v>
      </c>
      <c r="C256" s="10" t="s">
        <v>310</v>
      </c>
      <c r="D256" s="10" t="s">
        <v>335</v>
      </c>
      <c r="E256" s="24">
        <v>30</v>
      </c>
      <c r="F256" s="37" t="s">
        <v>263</v>
      </c>
      <c r="G256" s="12">
        <f t="shared" si="16"/>
        <v>0.66666666666666663</v>
      </c>
      <c r="H256" s="17" t="s">
        <v>266</v>
      </c>
    </row>
    <row r="257" spans="1:8" s="13" customFormat="1" x14ac:dyDescent="0.35">
      <c r="A257" s="14" t="s">
        <v>260</v>
      </c>
      <c r="B257" s="10" t="s">
        <v>54</v>
      </c>
      <c r="C257" s="10" t="s">
        <v>310</v>
      </c>
      <c r="D257" s="10" t="s">
        <v>336</v>
      </c>
      <c r="E257" s="24">
        <v>30</v>
      </c>
      <c r="F257" s="37" t="s">
        <v>263</v>
      </c>
      <c r="G257" s="12">
        <f t="shared" si="16"/>
        <v>0.66666666666666663</v>
      </c>
      <c r="H257" s="17" t="s">
        <v>266</v>
      </c>
    </row>
    <row r="258" spans="1:8" s="13" customFormat="1" x14ac:dyDescent="0.35">
      <c r="A258" s="14" t="s">
        <v>260</v>
      </c>
      <c r="B258" s="10" t="s">
        <v>54</v>
      </c>
      <c r="C258" s="10" t="s">
        <v>337</v>
      </c>
      <c r="D258" s="10" t="s">
        <v>338</v>
      </c>
      <c r="E258" s="24">
        <v>30</v>
      </c>
      <c r="F258" s="37" t="s">
        <v>263</v>
      </c>
      <c r="G258" s="12">
        <f t="shared" ref="G258:G290" si="18">20/E258</f>
        <v>0.66666666666666663</v>
      </c>
      <c r="H258" s="17" t="s">
        <v>266</v>
      </c>
    </row>
    <row r="259" spans="1:8" s="13" customFormat="1" x14ac:dyDescent="0.35">
      <c r="A259" s="16" t="s">
        <v>260</v>
      </c>
      <c r="B259" s="21" t="s">
        <v>45</v>
      </c>
      <c r="C259" s="21" t="s">
        <v>337</v>
      </c>
      <c r="D259" s="21" t="s">
        <v>339</v>
      </c>
      <c r="E259" s="24">
        <v>30</v>
      </c>
      <c r="F259" s="14" t="s">
        <v>263</v>
      </c>
      <c r="G259" s="12">
        <f t="shared" si="18"/>
        <v>0.66666666666666663</v>
      </c>
      <c r="H259" s="18" t="s">
        <v>269</v>
      </c>
    </row>
    <row r="260" spans="1:8" s="13" customFormat="1" x14ac:dyDescent="0.35">
      <c r="A260" s="8" t="s">
        <v>260</v>
      </c>
      <c r="B260" s="10" t="s">
        <v>54</v>
      </c>
      <c r="C260" s="10" t="s">
        <v>340</v>
      </c>
      <c r="D260" s="10" t="s">
        <v>341</v>
      </c>
      <c r="E260" s="12">
        <v>30</v>
      </c>
      <c r="F260" s="28" t="s">
        <v>263</v>
      </c>
      <c r="G260" s="12">
        <f t="shared" si="18"/>
        <v>0.66666666666666663</v>
      </c>
      <c r="H260" s="17" t="s">
        <v>57</v>
      </c>
    </row>
    <row r="261" spans="1:8" s="13" customFormat="1" x14ac:dyDescent="0.35">
      <c r="A261" s="14" t="s">
        <v>260</v>
      </c>
      <c r="B261" s="10" t="s">
        <v>54</v>
      </c>
      <c r="C261" s="10" t="s">
        <v>342</v>
      </c>
      <c r="D261" s="10" t="s">
        <v>343</v>
      </c>
      <c r="E261" s="24">
        <v>30</v>
      </c>
      <c r="F261" s="37" t="s">
        <v>263</v>
      </c>
      <c r="G261" s="12">
        <f t="shared" si="18"/>
        <v>0.66666666666666663</v>
      </c>
      <c r="H261" s="17" t="s">
        <v>266</v>
      </c>
    </row>
    <row r="262" spans="1:8" s="13" customFormat="1" x14ac:dyDescent="0.35">
      <c r="A262" s="14" t="s">
        <v>260</v>
      </c>
      <c r="B262" s="10" t="s">
        <v>54</v>
      </c>
      <c r="C262" s="10" t="s">
        <v>342</v>
      </c>
      <c r="D262" s="10" t="s">
        <v>344</v>
      </c>
      <c r="E262" s="24">
        <v>30</v>
      </c>
      <c r="F262" s="37" t="s">
        <v>263</v>
      </c>
      <c r="G262" s="12">
        <f t="shared" ref="G262" si="19">20/E262</f>
        <v>0.66666666666666663</v>
      </c>
      <c r="H262" s="17" t="s">
        <v>266</v>
      </c>
    </row>
    <row r="263" spans="1:8" s="13" customFormat="1" x14ac:dyDescent="0.35">
      <c r="A263" s="14" t="s">
        <v>260</v>
      </c>
      <c r="B263" s="10" t="s">
        <v>98</v>
      </c>
      <c r="C263" s="10" t="s">
        <v>342</v>
      </c>
      <c r="D263" s="10" t="s">
        <v>344</v>
      </c>
      <c r="E263" s="24">
        <v>30</v>
      </c>
      <c r="F263" s="37" t="s">
        <v>263</v>
      </c>
      <c r="G263" s="12">
        <f t="shared" ref="G263" si="20">20/E263</f>
        <v>0.66666666666666663</v>
      </c>
      <c r="H263" s="17" t="s">
        <v>266</v>
      </c>
    </row>
    <row r="264" spans="1:8" s="13" customFormat="1" x14ac:dyDescent="0.35">
      <c r="A264" s="14" t="s">
        <v>260</v>
      </c>
      <c r="B264" s="10" t="s">
        <v>54</v>
      </c>
      <c r="C264" s="10" t="s">
        <v>342</v>
      </c>
      <c r="D264" s="10" t="s">
        <v>345</v>
      </c>
      <c r="E264" s="24">
        <v>30</v>
      </c>
      <c r="F264" s="37" t="s">
        <v>263</v>
      </c>
      <c r="G264" s="12">
        <f t="shared" si="18"/>
        <v>0.66666666666666663</v>
      </c>
      <c r="H264" s="17" t="s">
        <v>266</v>
      </c>
    </row>
    <row r="265" spans="1:8" s="13" customFormat="1" x14ac:dyDescent="0.35">
      <c r="A265" s="14" t="s">
        <v>260</v>
      </c>
      <c r="B265" s="10" t="s">
        <v>45</v>
      </c>
      <c r="C265" s="10" t="s">
        <v>342</v>
      </c>
      <c r="D265" s="10" t="s">
        <v>345</v>
      </c>
      <c r="E265" s="24">
        <v>30</v>
      </c>
      <c r="F265" s="37" t="s">
        <v>263</v>
      </c>
      <c r="G265" s="12">
        <f t="shared" si="18"/>
        <v>0.66666666666666663</v>
      </c>
      <c r="H265" s="17" t="s">
        <v>266</v>
      </c>
    </row>
    <row r="266" spans="1:8" s="13" customFormat="1" x14ac:dyDescent="0.35">
      <c r="A266" s="14" t="s">
        <v>260</v>
      </c>
      <c r="B266" s="10" t="s">
        <v>136</v>
      </c>
      <c r="C266" s="10" t="s">
        <v>346</v>
      </c>
      <c r="D266" s="10" t="s">
        <v>347</v>
      </c>
      <c r="E266" s="24">
        <v>30</v>
      </c>
      <c r="F266" s="37" t="s">
        <v>263</v>
      </c>
      <c r="G266" s="12">
        <f t="shared" si="18"/>
        <v>0.66666666666666663</v>
      </c>
      <c r="H266" s="17" t="s">
        <v>266</v>
      </c>
    </row>
    <row r="267" spans="1:8" s="13" customFormat="1" x14ac:dyDescent="0.35">
      <c r="A267" s="14" t="s">
        <v>260</v>
      </c>
      <c r="B267" s="10" t="s">
        <v>98</v>
      </c>
      <c r="C267" s="10" t="s">
        <v>346</v>
      </c>
      <c r="D267" s="10" t="s">
        <v>348</v>
      </c>
      <c r="E267" s="24">
        <v>30</v>
      </c>
      <c r="F267" s="37" t="s">
        <v>263</v>
      </c>
      <c r="G267" s="12">
        <f t="shared" si="18"/>
        <v>0.66666666666666663</v>
      </c>
      <c r="H267" s="17" t="s">
        <v>266</v>
      </c>
    </row>
    <row r="268" spans="1:8" s="13" customFormat="1" x14ac:dyDescent="0.35">
      <c r="A268" s="14" t="s">
        <v>260</v>
      </c>
      <c r="B268" s="10" t="s">
        <v>50</v>
      </c>
      <c r="C268" s="10" t="s">
        <v>346</v>
      </c>
      <c r="D268" s="10" t="s">
        <v>349</v>
      </c>
      <c r="E268" s="24">
        <v>30</v>
      </c>
      <c r="F268" s="37" t="s">
        <v>263</v>
      </c>
      <c r="G268" s="12">
        <f t="shared" si="18"/>
        <v>0.66666666666666663</v>
      </c>
      <c r="H268" s="17" t="s">
        <v>266</v>
      </c>
    </row>
    <row r="269" spans="1:8" s="13" customFormat="1" x14ac:dyDescent="0.35">
      <c r="A269" s="7" t="s">
        <v>260</v>
      </c>
      <c r="B269" s="21" t="s">
        <v>50</v>
      </c>
      <c r="C269" s="21" t="s">
        <v>346</v>
      </c>
      <c r="D269" s="21" t="s">
        <v>350</v>
      </c>
      <c r="E269" s="29">
        <v>30</v>
      </c>
      <c r="F269" s="7" t="s">
        <v>351</v>
      </c>
      <c r="G269" s="12">
        <f t="shared" si="18"/>
        <v>0.66666666666666663</v>
      </c>
      <c r="H269" s="17" t="s">
        <v>62</v>
      </c>
    </row>
    <row r="270" spans="1:8" s="13" customFormat="1" x14ac:dyDescent="0.35">
      <c r="A270" s="14" t="s">
        <v>260</v>
      </c>
      <c r="B270" s="10" t="s">
        <v>54</v>
      </c>
      <c r="C270" s="10" t="s">
        <v>346</v>
      </c>
      <c r="D270" s="10" t="s">
        <v>352</v>
      </c>
      <c r="E270" s="24">
        <v>30</v>
      </c>
      <c r="F270" s="37" t="s">
        <v>263</v>
      </c>
      <c r="G270" s="12">
        <f t="shared" si="18"/>
        <v>0.66666666666666663</v>
      </c>
      <c r="H270" s="17" t="s">
        <v>266</v>
      </c>
    </row>
    <row r="271" spans="1:8" s="13" customFormat="1" x14ac:dyDescent="0.35">
      <c r="A271" s="14" t="s">
        <v>260</v>
      </c>
      <c r="B271" s="10" t="s">
        <v>45</v>
      </c>
      <c r="C271" s="10" t="s">
        <v>346</v>
      </c>
      <c r="D271" s="10" t="s">
        <v>353</v>
      </c>
      <c r="E271" s="24">
        <v>30</v>
      </c>
      <c r="F271" s="37" t="s">
        <v>263</v>
      </c>
      <c r="G271" s="12">
        <f t="shared" si="18"/>
        <v>0.66666666666666663</v>
      </c>
      <c r="H271" s="17" t="s">
        <v>266</v>
      </c>
    </row>
    <row r="272" spans="1:8" s="13" customFormat="1" x14ac:dyDescent="0.35">
      <c r="A272" s="8" t="s">
        <v>260</v>
      </c>
      <c r="B272" s="10" t="s">
        <v>54</v>
      </c>
      <c r="C272" s="10" t="s">
        <v>354</v>
      </c>
      <c r="D272" s="10" t="s">
        <v>355</v>
      </c>
      <c r="E272" s="12">
        <v>30</v>
      </c>
      <c r="F272" s="28" t="s">
        <v>263</v>
      </c>
      <c r="G272" s="12">
        <f t="shared" si="18"/>
        <v>0.66666666666666663</v>
      </c>
      <c r="H272" s="17" t="s">
        <v>57</v>
      </c>
    </row>
    <row r="273" spans="1:8" s="13" customFormat="1" x14ac:dyDescent="0.35">
      <c r="A273" s="14" t="s">
        <v>260</v>
      </c>
      <c r="B273" s="10" t="s">
        <v>136</v>
      </c>
      <c r="C273" s="10" t="s">
        <v>356</v>
      </c>
      <c r="D273" s="10" t="s">
        <v>357</v>
      </c>
      <c r="E273" s="24">
        <v>30</v>
      </c>
      <c r="F273" s="37" t="s">
        <v>263</v>
      </c>
      <c r="G273" s="12">
        <f t="shared" si="18"/>
        <v>0.66666666666666663</v>
      </c>
      <c r="H273" s="17" t="s">
        <v>266</v>
      </c>
    </row>
    <row r="274" spans="1:8" s="13" customFormat="1" x14ac:dyDescent="0.35">
      <c r="A274" s="14" t="s">
        <v>260</v>
      </c>
      <c r="B274" s="10" t="s">
        <v>136</v>
      </c>
      <c r="C274" s="10" t="s">
        <v>356</v>
      </c>
      <c r="D274" s="10" t="s">
        <v>358</v>
      </c>
      <c r="E274" s="24">
        <v>30</v>
      </c>
      <c r="F274" s="37" t="s">
        <v>263</v>
      </c>
      <c r="G274" s="12">
        <f t="shared" si="18"/>
        <v>0.66666666666666663</v>
      </c>
      <c r="H274" s="17" t="s">
        <v>266</v>
      </c>
    </row>
    <row r="275" spans="1:8" s="13" customFormat="1" x14ac:dyDescent="0.35">
      <c r="A275" s="14" t="s">
        <v>260</v>
      </c>
      <c r="B275" s="10" t="s">
        <v>136</v>
      </c>
      <c r="C275" s="10" t="s">
        <v>356</v>
      </c>
      <c r="D275" s="10" t="s">
        <v>359</v>
      </c>
      <c r="E275" s="24">
        <v>30</v>
      </c>
      <c r="F275" s="37" t="s">
        <v>263</v>
      </c>
      <c r="G275" s="12">
        <f t="shared" ref="G275" si="21">20/E275</f>
        <v>0.66666666666666663</v>
      </c>
      <c r="H275" s="17" t="s">
        <v>266</v>
      </c>
    </row>
    <row r="276" spans="1:8" s="13" customFormat="1" x14ac:dyDescent="0.35">
      <c r="A276" s="14" t="s">
        <v>260</v>
      </c>
      <c r="B276" s="10" t="s">
        <v>98</v>
      </c>
      <c r="C276" s="10" t="s">
        <v>356</v>
      </c>
      <c r="D276" s="10" t="s">
        <v>360</v>
      </c>
      <c r="E276" s="24">
        <v>30</v>
      </c>
      <c r="F276" s="37" t="s">
        <v>263</v>
      </c>
      <c r="G276" s="12">
        <f t="shared" si="18"/>
        <v>0.66666666666666663</v>
      </c>
      <c r="H276" s="17" t="s">
        <v>266</v>
      </c>
    </row>
    <row r="277" spans="1:8" s="13" customFormat="1" x14ac:dyDescent="0.35">
      <c r="A277" s="14" t="s">
        <v>260</v>
      </c>
      <c r="B277" s="10" t="s">
        <v>98</v>
      </c>
      <c r="C277" s="10" t="s">
        <v>356</v>
      </c>
      <c r="D277" s="10" t="s">
        <v>361</v>
      </c>
      <c r="E277" s="24">
        <v>30</v>
      </c>
      <c r="F277" s="37" t="s">
        <v>263</v>
      </c>
      <c r="G277" s="12">
        <f t="shared" si="18"/>
        <v>0.66666666666666663</v>
      </c>
      <c r="H277" s="17" t="s">
        <v>266</v>
      </c>
    </row>
    <row r="278" spans="1:8" s="13" customFormat="1" x14ac:dyDescent="0.35">
      <c r="A278" s="14" t="s">
        <v>260</v>
      </c>
      <c r="B278" s="10" t="s">
        <v>45</v>
      </c>
      <c r="C278" s="10" t="s">
        <v>356</v>
      </c>
      <c r="D278" s="10" t="s">
        <v>362</v>
      </c>
      <c r="E278" s="24">
        <v>30</v>
      </c>
      <c r="F278" s="37" t="s">
        <v>263</v>
      </c>
      <c r="G278" s="12">
        <f t="shared" si="18"/>
        <v>0.66666666666666663</v>
      </c>
      <c r="H278" s="17" t="s">
        <v>266</v>
      </c>
    </row>
    <row r="279" spans="1:8" s="13" customFormat="1" x14ac:dyDescent="0.35">
      <c r="A279" s="14" t="s">
        <v>260</v>
      </c>
      <c r="B279" s="10" t="s">
        <v>136</v>
      </c>
      <c r="C279" s="10" t="s">
        <v>356</v>
      </c>
      <c r="D279" s="10" t="s">
        <v>362</v>
      </c>
      <c r="E279" s="24">
        <v>30</v>
      </c>
      <c r="F279" s="37" t="s">
        <v>263</v>
      </c>
      <c r="G279" s="12">
        <f t="shared" si="18"/>
        <v>0.66666666666666663</v>
      </c>
      <c r="H279" s="17" t="s">
        <v>266</v>
      </c>
    </row>
    <row r="280" spans="1:8" s="13" customFormat="1" x14ac:dyDescent="0.35">
      <c r="A280" s="7" t="s">
        <v>260</v>
      </c>
      <c r="B280" s="21" t="s">
        <v>98</v>
      </c>
      <c r="C280" s="21" t="s">
        <v>356</v>
      </c>
      <c r="D280" s="21" t="s">
        <v>363</v>
      </c>
      <c r="E280" s="29">
        <v>30</v>
      </c>
      <c r="F280" s="7" t="s">
        <v>263</v>
      </c>
      <c r="G280" s="12">
        <f t="shared" si="18"/>
        <v>0.66666666666666663</v>
      </c>
      <c r="H280" s="17" t="s">
        <v>62</v>
      </c>
    </row>
    <row r="281" spans="1:8" s="13" customFormat="1" x14ac:dyDescent="0.35">
      <c r="A281" s="8" t="s">
        <v>260</v>
      </c>
      <c r="B281" s="10" t="s">
        <v>45</v>
      </c>
      <c r="C281" s="10" t="s">
        <v>356</v>
      </c>
      <c r="D281" s="10" t="s">
        <v>364</v>
      </c>
      <c r="E281" s="12">
        <v>30</v>
      </c>
      <c r="F281" s="28" t="s">
        <v>365</v>
      </c>
      <c r="G281" s="12">
        <f t="shared" si="18"/>
        <v>0.66666666666666663</v>
      </c>
      <c r="H281" s="17" t="s">
        <v>57</v>
      </c>
    </row>
    <row r="282" spans="1:8" s="13" customFormat="1" x14ac:dyDescent="0.35">
      <c r="A282" s="14" t="s">
        <v>260</v>
      </c>
      <c r="B282" s="10" t="s">
        <v>45</v>
      </c>
      <c r="C282" s="10" t="s">
        <v>356</v>
      </c>
      <c r="D282" s="10" t="s">
        <v>366</v>
      </c>
      <c r="E282" s="24">
        <v>30</v>
      </c>
      <c r="F282" s="37" t="s">
        <v>263</v>
      </c>
      <c r="G282" s="12">
        <f t="shared" si="18"/>
        <v>0.66666666666666663</v>
      </c>
      <c r="H282" s="17" t="s">
        <v>266</v>
      </c>
    </row>
    <row r="283" spans="1:8" s="13" customFormat="1" x14ac:dyDescent="0.35">
      <c r="A283" s="14" t="s">
        <v>260</v>
      </c>
      <c r="B283" s="10" t="s">
        <v>54</v>
      </c>
      <c r="C283" s="10" t="s">
        <v>356</v>
      </c>
      <c r="D283" s="10" t="s">
        <v>367</v>
      </c>
      <c r="E283" s="24">
        <v>30</v>
      </c>
      <c r="F283" s="37" t="s">
        <v>263</v>
      </c>
      <c r="G283" s="12">
        <f t="shared" si="18"/>
        <v>0.66666666666666663</v>
      </c>
      <c r="H283" s="17" t="s">
        <v>266</v>
      </c>
    </row>
    <row r="284" spans="1:8" s="13" customFormat="1" x14ac:dyDescent="0.35">
      <c r="A284" s="14" t="s">
        <v>260</v>
      </c>
      <c r="B284" s="10" t="s">
        <v>54</v>
      </c>
      <c r="C284" s="10" t="s">
        <v>356</v>
      </c>
      <c r="D284" s="10" t="s">
        <v>368</v>
      </c>
      <c r="E284" s="24">
        <v>30</v>
      </c>
      <c r="F284" s="37" t="s">
        <v>263</v>
      </c>
      <c r="G284" s="12">
        <f t="shared" si="18"/>
        <v>0.66666666666666663</v>
      </c>
      <c r="H284" s="17" t="s">
        <v>266</v>
      </c>
    </row>
    <row r="285" spans="1:8" s="13" customFormat="1" x14ac:dyDescent="0.35">
      <c r="A285" s="14" t="s">
        <v>260</v>
      </c>
      <c r="B285" s="10" t="s">
        <v>54</v>
      </c>
      <c r="C285" s="10" t="s">
        <v>356</v>
      </c>
      <c r="D285" s="10" t="s">
        <v>369</v>
      </c>
      <c r="E285" s="24">
        <v>30</v>
      </c>
      <c r="F285" s="37" t="s">
        <v>263</v>
      </c>
      <c r="G285" s="12">
        <f t="shared" si="18"/>
        <v>0.66666666666666663</v>
      </c>
      <c r="H285" s="17" t="s">
        <v>266</v>
      </c>
    </row>
    <row r="286" spans="1:8" s="13" customFormat="1" x14ac:dyDescent="0.35">
      <c r="A286" s="14" t="s">
        <v>260</v>
      </c>
      <c r="B286" s="10" t="s">
        <v>54</v>
      </c>
      <c r="C286" s="10" t="s">
        <v>356</v>
      </c>
      <c r="D286" s="10" t="s">
        <v>370</v>
      </c>
      <c r="E286" s="24">
        <v>30</v>
      </c>
      <c r="F286" s="37" t="s">
        <v>263</v>
      </c>
      <c r="G286" s="12">
        <f t="shared" si="18"/>
        <v>0.66666666666666663</v>
      </c>
      <c r="H286" s="17" t="s">
        <v>266</v>
      </c>
    </row>
    <row r="287" spans="1:8" s="13" customFormat="1" x14ac:dyDescent="0.35">
      <c r="A287" s="14" t="s">
        <v>260</v>
      </c>
      <c r="B287" s="10" t="s">
        <v>45</v>
      </c>
      <c r="C287" s="10" t="s">
        <v>371</v>
      </c>
      <c r="D287" s="10" t="s">
        <v>372</v>
      </c>
      <c r="E287" s="24">
        <v>30</v>
      </c>
      <c r="F287" s="37" t="s">
        <v>263</v>
      </c>
      <c r="G287" s="12">
        <f t="shared" si="18"/>
        <v>0.66666666666666663</v>
      </c>
      <c r="H287" s="17" t="s">
        <v>266</v>
      </c>
    </row>
    <row r="288" spans="1:8" s="13" customFormat="1" x14ac:dyDescent="0.35">
      <c r="A288" s="14" t="s">
        <v>260</v>
      </c>
      <c r="B288" s="10" t="s">
        <v>45</v>
      </c>
      <c r="C288" s="10" t="s">
        <v>371</v>
      </c>
      <c r="D288" s="10" t="s">
        <v>373</v>
      </c>
      <c r="E288" s="24">
        <v>30</v>
      </c>
      <c r="F288" s="37" t="s">
        <v>263</v>
      </c>
      <c r="G288" s="12">
        <f t="shared" si="18"/>
        <v>0.66666666666666663</v>
      </c>
      <c r="H288" s="17" t="s">
        <v>266</v>
      </c>
    </row>
    <row r="289" spans="1:8" s="13" customFormat="1" x14ac:dyDescent="0.35">
      <c r="A289" s="8" t="s">
        <v>260</v>
      </c>
      <c r="B289" s="10" t="s">
        <v>54</v>
      </c>
      <c r="C289" s="10" t="s">
        <v>371</v>
      </c>
      <c r="D289" s="10" t="s">
        <v>374</v>
      </c>
      <c r="E289" s="12">
        <v>30</v>
      </c>
      <c r="F289" s="28" t="s">
        <v>263</v>
      </c>
      <c r="G289" s="12">
        <f t="shared" si="18"/>
        <v>0.66666666666666663</v>
      </c>
      <c r="H289" s="17" t="s">
        <v>57</v>
      </c>
    </row>
    <row r="290" spans="1:8" s="13" customFormat="1" x14ac:dyDescent="0.35">
      <c r="A290" s="8" t="s">
        <v>260</v>
      </c>
      <c r="B290" s="10" t="s">
        <v>54</v>
      </c>
      <c r="C290" s="10" t="s">
        <v>371</v>
      </c>
      <c r="D290" s="10" t="s">
        <v>375</v>
      </c>
      <c r="E290" s="12">
        <v>30</v>
      </c>
      <c r="F290" s="28" t="s">
        <v>263</v>
      </c>
      <c r="G290" s="12">
        <f t="shared" si="18"/>
        <v>0.66666666666666663</v>
      </c>
      <c r="H290" s="17" t="s">
        <v>57</v>
      </c>
    </row>
    <row r="291" spans="1:8" s="13" customFormat="1" x14ac:dyDescent="0.35">
      <c r="A291" s="14" t="s">
        <v>260</v>
      </c>
      <c r="B291" s="10" t="s">
        <v>45</v>
      </c>
      <c r="C291" s="10" t="s">
        <v>376</v>
      </c>
      <c r="D291" s="10" t="s">
        <v>377</v>
      </c>
      <c r="E291" s="24">
        <v>30</v>
      </c>
      <c r="F291" s="37" t="s">
        <v>263</v>
      </c>
      <c r="G291" s="12">
        <f t="shared" ref="G291:G323" si="22">20/E291</f>
        <v>0.66666666666666663</v>
      </c>
      <c r="H291" s="17" t="s">
        <v>266</v>
      </c>
    </row>
    <row r="292" spans="1:8" s="13" customFormat="1" x14ac:dyDescent="0.35">
      <c r="A292" s="14" t="s">
        <v>260</v>
      </c>
      <c r="B292" s="10" t="s">
        <v>54</v>
      </c>
      <c r="C292" s="10" t="s">
        <v>376</v>
      </c>
      <c r="D292" s="10" t="s">
        <v>378</v>
      </c>
      <c r="E292" s="24">
        <v>30</v>
      </c>
      <c r="F292" s="37" t="s">
        <v>263</v>
      </c>
      <c r="G292" s="12">
        <f t="shared" si="22"/>
        <v>0.66666666666666663</v>
      </c>
      <c r="H292" s="17" t="s">
        <v>266</v>
      </c>
    </row>
    <row r="293" spans="1:8" s="13" customFormat="1" x14ac:dyDescent="0.35">
      <c r="A293" s="14" t="s">
        <v>260</v>
      </c>
      <c r="B293" s="10" t="s">
        <v>54</v>
      </c>
      <c r="C293" s="10" t="s">
        <v>376</v>
      </c>
      <c r="D293" s="10" t="s">
        <v>379</v>
      </c>
      <c r="E293" s="24">
        <v>30</v>
      </c>
      <c r="F293" s="37" t="s">
        <v>263</v>
      </c>
      <c r="G293" s="12">
        <f t="shared" si="22"/>
        <v>0.66666666666666663</v>
      </c>
      <c r="H293" s="17" t="s">
        <v>266</v>
      </c>
    </row>
    <row r="294" spans="1:8" s="13" customFormat="1" x14ac:dyDescent="0.35">
      <c r="A294" s="14" t="s">
        <v>260</v>
      </c>
      <c r="B294" s="10" t="s">
        <v>54</v>
      </c>
      <c r="C294" s="10" t="s">
        <v>376</v>
      </c>
      <c r="D294" s="10" t="s">
        <v>380</v>
      </c>
      <c r="E294" s="24">
        <v>30</v>
      </c>
      <c r="F294" s="37" t="s">
        <v>263</v>
      </c>
      <c r="G294" s="12">
        <f t="shared" si="22"/>
        <v>0.66666666666666663</v>
      </c>
      <c r="H294" s="17" t="s">
        <v>266</v>
      </c>
    </row>
    <row r="295" spans="1:8" s="13" customFormat="1" x14ac:dyDescent="0.35">
      <c r="A295" s="14" t="s">
        <v>260</v>
      </c>
      <c r="B295" s="10" t="s">
        <v>45</v>
      </c>
      <c r="C295" s="10" t="s">
        <v>381</v>
      </c>
      <c r="D295" s="10" t="s">
        <v>382</v>
      </c>
      <c r="E295" s="24">
        <v>30</v>
      </c>
      <c r="F295" s="37" t="s">
        <v>263</v>
      </c>
      <c r="G295" s="12">
        <f t="shared" si="22"/>
        <v>0.66666666666666663</v>
      </c>
      <c r="H295" s="17" t="s">
        <v>266</v>
      </c>
    </row>
    <row r="296" spans="1:8" s="13" customFormat="1" x14ac:dyDescent="0.35">
      <c r="A296" s="16" t="s">
        <v>260</v>
      </c>
      <c r="B296" s="21" t="s">
        <v>45</v>
      </c>
      <c r="C296" s="21" t="s">
        <v>381</v>
      </c>
      <c r="D296" s="21" t="s">
        <v>383</v>
      </c>
      <c r="E296" s="24">
        <v>30</v>
      </c>
      <c r="F296" s="14" t="s">
        <v>263</v>
      </c>
      <c r="G296" s="12">
        <f t="shared" si="22"/>
        <v>0.66666666666666663</v>
      </c>
      <c r="H296" s="18" t="s">
        <v>269</v>
      </c>
    </row>
    <row r="297" spans="1:8" s="13" customFormat="1" x14ac:dyDescent="0.35">
      <c r="A297" s="14" t="s">
        <v>260</v>
      </c>
      <c r="B297" s="10" t="s">
        <v>45</v>
      </c>
      <c r="C297" s="10" t="s">
        <v>384</v>
      </c>
      <c r="D297" s="10" t="s">
        <v>385</v>
      </c>
      <c r="E297" s="24">
        <v>30</v>
      </c>
      <c r="F297" s="37" t="s">
        <v>263</v>
      </c>
      <c r="G297" s="12">
        <f t="shared" si="22"/>
        <v>0.66666666666666663</v>
      </c>
      <c r="H297" s="17" t="s">
        <v>266</v>
      </c>
    </row>
    <row r="298" spans="1:8" s="13" customFormat="1" x14ac:dyDescent="0.35">
      <c r="A298" s="14" t="s">
        <v>260</v>
      </c>
      <c r="B298" s="10" t="s">
        <v>54</v>
      </c>
      <c r="C298" s="10" t="s">
        <v>386</v>
      </c>
      <c r="D298" s="10" t="s">
        <v>387</v>
      </c>
      <c r="E298" s="24">
        <v>30</v>
      </c>
      <c r="F298" s="37" t="s">
        <v>263</v>
      </c>
      <c r="G298" s="12">
        <f t="shared" ref="G298" si="23">20/E298</f>
        <v>0.66666666666666663</v>
      </c>
      <c r="H298" s="17" t="s">
        <v>266</v>
      </c>
    </row>
    <row r="299" spans="1:8" s="13" customFormat="1" x14ac:dyDescent="0.35">
      <c r="A299" s="14" t="s">
        <v>260</v>
      </c>
      <c r="B299" s="10" t="s">
        <v>54</v>
      </c>
      <c r="C299" s="10" t="s">
        <v>386</v>
      </c>
      <c r="D299" s="10" t="s">
        <v>388</v>
      </c>
      <c r="E299" s="24">
        <v>30</v>
      </c>
      <c r="F299" s="37" t="s">
        <v>263</v>
      </c>
      <c r="G299" s="12">
        <f t="shared" si="22"/>
        <v>0.66666666666666663</v>
      </c>
      <c r="H299" s="17" t="s">
        <v>266</v>
      </c>
    </row>
    <row r="300" spans="1:8" s="13" customFormat="1" x14ac:dyDescent="0.35">
      <c r="A300" s="14" t="s">
        <v>260</v>
      </c>
      <c r="B300" s="10" t="s">
        <v>45</v>
      </c>
      <c r="C300" s="10" t="s">
        <v>386</v>
      </c>
      <c r="D300" s="10" t="s">
        <v>389</v>
      </c>
      <c r="E300" s="24">
        <v>30</v>
      </c>
      <c r="F300" s="37" t="s">
        <v>263</v>
      </c>
      <c r="G300" s="12">
        <f t="shared" si="22"/>
        <v>0.66666666666666663</v>
      </c>
      <c r="H300" s="17" t="s">
        <v>266</v>
      </c>
    </row>
    <row r="301" spans="1:8" s="13" customFormat="1" x14ac:dyDescent="0.35">
      <c r="A301" s="14" t="s">
        <v>260</v>
      </c>
      <c r="B301" s="10" t="s">
        <v>45</v>
      </c>
      <c r="C301" s="10" t="s">
        <v>386</v>
      </c>
      <c r="D301" s="10" t="s">
        <v>390</v>
      </c>
      <c r="E301" s="24">
        <v>30</v>
      </c>
      <c r="F301" s="37" t="s">
        <v>263</v>
      </c>
      <c r="G301" s="12">
        <f t="shared" si="22"/>
        <v>0.66666666666666663</v>
      </c>
      <c r="H301" s="17" t="s">
        <v>266</v>
      </c>
    </row>
    <row r="302" spans="1:8" s="13" customFormat="1" x14ac:dyDescent="0.35">
      <c r="A302" s="14" t="s">
        <v>260</v>
      </c>
      <c r="B302" s="10" t="s">
        <v>50</v>
      </c>
      <c r="C302" s="10" t="s">
        <v>386</v>
      </c>
      <c r="D302" s="10" t="s">
        <v>391</v>
      </c>
      <c r="E302" s="24">
        <v>30</v>
      </c>
      <c r="F302" s="37" t="s">
        <v>263</v>
      </c>
      <c r="G302" s="12">
        <f t="shared" si="22"/>
        <v>0.66666666666666663</v>
      </c>
      <c r="H302" s="17" t="s">
        <v>266</v>
      </c>
    </row>
    <row r="303" spans="1:8" s="13" customFormat="1" x14ac:dyDescent="0.35">
      <c r="A303" s="14" t="s">
        <v>260</v>
      </c>
      <c r="B303" s="10" t="s">
        <v>45</v>
      </c>
      <c r="C303" s="10" t="s">
        <v>386</v>
      </c>
      <c r="D303" s="10" t="s">
        <v>392</v>
      </c>
      <c r="E303" s="24">
        <v>30</v>
      </c>
      <c r="F303" s="37" t="s">
        <v>263</v>
      </c>
      <c r="G303" s="12">
        <f t="shared" si="22"/>
        <v>0.66666666666666663</v>
      </c>
      <c r="H303" s="17" t="s">
        <v>266</v>
      </c>
    </row>
    <row r="304" spans="1:8" s="13" customFormat="1" x14ac:dyDescent="0.35">
      <c r="A304" s="14" t="s">
        <v>260</v>
      </c>
      <c r="B304" s="10" t="s">
        <v>50</v>
      </c>
      <c r="C304" s="10" t="s">
        <v>386</v>
      </c>
      <c r="D304" s="10" t="s">
        <v>392</v>
      </c>
      <c r="E304" s="24">
        <v>30</v>
      </c>
      <c r="F304" s="37" t="s">
        <v>263</v>
      </c>
      <c r="G304" s="12">
        <f t="shared" si="22"/>
        <v>0.66666666666666663</v>
      </c>
      <c r="H304" s="17" t="s">
        <v>266</v>
      </c>
    </row>
    <row r="305" spans="1:8" s="13" customFormat="1" x14ac:dyDescent="0.35">
      <c r="A305" s="14" t="s">
        <v>260</v>
      </c>
      <c r="B305" s="10" t="s">
        <v>50</v>
      </c>
      <c r="C305" s="10" t="s">
        <v>393</v>
      </c>
      <c r="D305" s="10" t="s">
        <v>394</v>
      </c>
      <c r="E305" s="24">
        <v>30</v>
      </c>
      <c r="F305" s="37" t="s">
        <v>263</v>
      </c>
      <c r="G305" s="12">
        <f t="shared" si="22"/>
        <v>0.66666666666666663</v>
      </c>
      <c r="H305" s="17" t="s">
        <v>266</v>
      </c>
    </row>
    <row r="306" spans="1:8" s="13" customFormat="1" x14ac:dyDescent="0.35">
      <c r="A306" s="14" t="s">
        <v>260</v>
      </c>
      <c r="B306" s="10" t="s">
        <v>98</v>
      </c>
      <c r="C306" s="10" t="s">
        <v>393</v>
      </c>
      <c r="D306" s="10" t="s">
        <v>395</v>
      </c>
      <c r="E306" s="24">
        <v>30</v>
      </c>
      <c r="F306" s="37" t="s">
        <v>263</v>
      </c>
      <c r="G306" s="12">
        <f t="shared" si="22"/>
        <v>0.66666666666666663</v>
      </c>
      <c r="H306" s="17" t="s">
        <v>266</v>
      </c>
    </row>
    <row r="307" spans="1:8" s="13" customFormat="1" x14ac:dyDescent="0.35">
      <c r="A307" s="14" t="s">
        <v>260</v>
      </c>
      <c r="B307" s="10" t="s">
        <v>202</v>
      </c>
      <c r="C307" s="10" t="s">
        <v>393</v>
      </c>
      <c r="D307" s="10" t="s">
        <v>395</v>
      </c>
      <c r="E307" s="24">
        <v>30</v>
      </c>
      <c r="F307" s="37" t="s">
        <v>263</v>
      </c>
      <c r="G307" s="12">
        <f t="shared" si="22"/>
        <v>0.66666666666666663</v>
      </c>
      <c r="H307" s="17" t="s">
        <v>266</v>
      </c>
    </row>
    <row r="308" spans="1:8" s="13" customFormat="1" x14ac:dyDescent="0.35">
      <c r="A308" s="14" t="s">
        <v>260</v>
      </c>
      <c r="B308" s="10" t="s">
        <v>50</v>
      </c>
      <c r="C308" s="10" t="s">
        <v>393</v>
      </c>
      <c r="D308" s="10" t="s">
        <v>396</v>
      </c>
      <c r="E308" s="24">
        <v>30</v>
      </c>
      <c r="F308" s="37" t="s">
        <v>263</v>
      </c>
      <c r="G308" s="12">
        <f t="shared" si="22"/>
        <v>0.66666666666666663</v>
      </c>
      <c r="H308" s="17" t="s">
        <v>266</v>
      </c>
    </row>
    <row r="309" spans="1:8" s="13" customFormat="1" x14ac:dyDescent="0.35">
      <c r="A309" s="8" t="s">
        <v>260</v>
      </c>
      <c r="B309" s="10" t="s">
        <v>54</v>
      </c>
      <c r="C309" s="10" t="s">
        <v>393</v>
      </c>
      <c r="D309" s="10" t="s">
        <v>397</v>
      </c>
      <c r="E309" s="12">
        <v>30</v>
      </c>
      <c r="F309" s="28" t="s">
        <v>263</v>
      </c>
      <c r="G309" s="12">
        <f t="shared" si="22"/>
        <v>0.66666666666666663</v>
      </c>
      <c r="H309" s="17" t="s">
        <v>57</v>
      </c>
    </row>
    <row r="310" spans="1:8" s="13" customFormat="1" x14ac:dyDescent="0.35">
      <c r="A310" s="8" t="s">
        <v>260</v>
      </c>
      <c r="B310" s="10" t="s">
        <v>45</v>
      </c>
      <c r="C310" s="10" t="s">
        <v>393</v>
      </c>
      <c r="D310" s="10" t="s">
        <v>397</v>
      </c>
      <c r="E310" s="12">
        <v>30</v>
      </c>
      <c r="F310" s="28" t="s">
        <v>263</v>
      </c>
      <c r="G310" s="12">
        <f t="shared" si="22"/>
        <v>0.66666666666666663</v>
      </c>
      <c r="H310" s="17" t="s">
        <v>57</v>
      </c>
    </row>
    <row r="311" spans="1:8" s="13" customFormat="1" x14ac:dyDescent="0.35">
      <c r="A311" s="14" t="s">
        <v>260</v>
      </c>
      <c r="B311" s="10" t="s">
        <v>136</v>
      </c>
      <c r="C311" s="10" t="s">
        <v>393</v>
      </c>
      <c r="D311" s="10" t="s">
        <v>398</v>
      </c>
      <c r="E311" s="24">
        <v>30</v>
      </c>
      <c r="F311" s="37" t="s">
        <v>263</v>
      </c>
      <c r="G311" s="12">
        <f t="shared" si="22"/>
        <v>0.66666666666666663</v>
      </c>
      <c r="H311" s="17" t="s">
        <v>266</v>
      </c>
    </row>
    <row r="312" spans="1:8" s="13" customFormat="1" x14ac:dyDescent="0.35">
      <c r="A312" s="14" t="s">
        <v>260</v>
      </c>
      <c r="B312" s="10" t="s">
        <v>45</v>
      </c>
      <c r="C312" s="10" t="s">
        <v>393</v>
      </c>
      <c r="D312" s="10" t="s">
        <v>398</v>
      </c>
      <c r="E312" s="24">
        <v>30</v>
      </c>
      <c r="F312" s="37" t="s">
        <v>263</v>
      </c>
      <c r="G312" s="12">
        <f t="shared" si="22"/>
        <v>0.66666666666666663</v>
      </c>
      <c r="H312" s="17" t="s">
        <v>266</v>
      </c>
    </row>
    <row r="313" spans="1:8" s="13" customFormat="1" x14ac:dyDescent="0.35">
      <c r="A313" s="14" t="s">
        <v>260</v>
      </c>
      <c r="B313" s="10" t="s">
        <v>54</v>
      </c>
      <c r="C313" s="10" t="s">
        <v>393</v>
      </c>
      <c r="D313" s="10" t="s">
        <v>399</v>
      </c>
      <c r="E313" s="24">
        <v>30</v>
      </c>
      <c r="F313" s="37" t="s">
        <v>263</v>
      </c>
      <c r="G313" s="12">
        <f t="shared" si="22"/>
        <v>0.66666666666666663</v>
      </c>
      <c r="H313" s="17" t="s">
        <v>266</v>
      </c>
    </row>
    <row r="314" spans="1:8" s="13" customFormat="1" x14ac:dyDescent="0.35">
      <c r="A314" s="14" t="s">
        <v>260</v>
      </c>
      <c r="B314" s="10" t="s">
        <v>54</v>
      </c>
      <c r="C314" s="10" t="s">
        <v>393</v>
      </c>
      <c r="D314" s="10" t="s">
        <v>400</v>
      </c>
      <c r="E314" s="24">
        <v>30</v>
      </c>
      <c r="F314" s="37" t="s">
        <v>263</v>
      </c>
      <c r="G314" s="12">
        <f t="shared" si="22"/>
        <v>0.66666666666666663</v>
      </c>
      <c r="H314" s="17" t="s">
        <v>266</v>
      </c>
    </row>
    <row r="315" spans="1:8" s="13" customFormat="1" x14ac:dyDescent="0.35">
      <c r="A315" s="14" t="s">
        <v>260</v>
      </c>
      <c r="B315" s="10" t="s">
        <v>54</v>
      </c>
      <c r="C315" s="10" t="s">
        <v>393</v>
      </c>
      <c r="D315" s="10" t="s">
        <v>401</v>
      </c>
      <c r="E315" s="24">
        <v>30</v>
      </c>
      <c r="F315" s="37" t="s">
        <v>263</v>
      </c>
      <c r="G315" s="12">
        <f t="shared" si="22"/>
        <v>0.66666666666666663</v>
      </c>
      <c r="H315" s="17" t="s">
        <v>266</v>
      </c>
    </row>
    <row r="316" spans="1:8" s="13" customFormat="1" x14ac:dyDescent="0.35">
      <c r="A316" s="14" t="s">
        <v>260</v>
      </c>
      <c r="B316" s="10" t="s">
        <v>45</v>
      </c>
      <c r="C316" s="10" t="s">
        <v>393</v>
      </c>
      <c r="D316" s="10" t="s">
        <v>401</v>
      </c>
      <c r="E316" s="24">
        <v>30</v>
      </c>
      <c r="F316" s="37" t="s">
        <v>263</v>
      </c>
      <c r="G316" s="12">
        <f t="shared" si="22"/>
        <v>0.66666666666666663</v>
      </c>
      <c r="H316" s="17" t="s">
        <v>266</v>
      </c>
    </row>
    <row r="317" spans="1:8" s="13" customFormat="1" x14ac:dyDescent="0.35">
      <c r="A317" s="14" t="s">
        <v>260</v>
      </c>
      <c r="B317" s="10" t="s">
        <v>202</v>
      </c>
      <c r="C317" s="10" t="s">
        <v>393</v>
      </c>
      <c r="D317" s="10" t="s">
        <v>401</v>
      </c>
      <c r="E317" s="24">
        <v>30</v>
      </c>
      <c r="F317" s="37" t="s">
        <v>263</v>
      </c>
      <c r="G317" s="12">
        <f t="shared" si="22"/>
        <v>0.66666666666666663</v>
      </c>
      <c r="H317" s="17" t="s">
        <v>266</v>
      </c>
    </row>
    <row r="318" spans="1:8" s="13" customFormat="1" x14ac:dyDescent="0.35">
      <c r="A318" s="14" t="s">
        <v>260</v>
      </c>
      <c r="B318" s="10" t="s">
        <v>54</v>
      </c>
      <c r="C318" s="10" t="s">
        <v>393</v>
      </c>
      <c r="D318" s="10" t="s">
        <v>402</v>
      </c>
      <c r="E318" s="24">
        <v>30</v>
      </c>
      <c r="F318" s="37" t="s">
        <v>263</v>
      </c>
      <c r="G318" s="12">
        <f t="shared" si="22"/>
        <v>0.66666666666666663</v>
      </c>
      <c r="H318" s="17" t="s">
        <v>266</v>
      </c>
    </row>
    <row r="319" spans="1:8" s="13" customFormat="1" x14ac:dyDescent="0.35">
      <c r="A319" s="14" t="s">
        <v>260</v>
      </c>
      <c r="B319" s="10" t="s">
        <v>54</v>
      </c>
      <c r="C319" s="10" t="s">
        <v>393</v>
      </c>
      <c r="D319" s="10" t="s">
        <v>403</v>
      </c>
      <c r="E319" s="24">
        <v>30</v>
      </c>
      <c r="F319" s="37" t="s">
        <v>263</v>
      </c>
      <c r="G319" s="12">
        <f t="shared" si="22"/>
        <v>0.66666666666666663</v>
      </c>
      <c r="H319" s="17" t="s">
        <v>266</v>
      </c>
    </row>
    <row r="320" spans="1:8" s="13" customFormat="1" x14ac:dyDescent="0.35">
      <c r="A320" s="14" t="s">
        <v>260</v>
      </c>
      <c r="B320" s="10" t="s">
        <v>45</v>
      </c>
      <c r="C320" s="10" t="s">
        <v>393</v>
      </c>
      <c r="D320" s="10" t="s">
        <v>403</v>
      </c>
      <c r="E320" s="24">
        <v>30</v>
      </c>
      <c r="F320" s="37" t="s">
        <v>263</v>
      </c>
      <c r="G320" s="12">
        <f t="shared" si="22"/>
        <v>0.66666666666666663</v>
      </c>
      <c r="H320" s="17" t="s">
        <v>266</v>
      </c>
    </row>
    <row r="321" spans="1:8" s="13" customFormat="1" x14ac:dyDescent="0.35">
      <c r="A321" s="14" t="s">
        <v>260</v>
      </c>
      <c r="B321" s="10" t="s">
        <v>50</v>
      </c>
      <c r="C321" s="10" t="s">
        <v>404</v>
      </c>
      <c r="D321" s="10" t="s">
        <v>405</v>
      </c>
      <c r="E321" s="24">
        <v>30</v>
      </c>
      <c r="F321" s="37" t="s">
        <v>263</v>
      </c>
      <c r="G321" s="12">
        <f t="shared" si="22"/>
        <v>0.66666666666666663</v>
      </c>
      <c r="H321" s="17" t="s">
        <v>266</v>
      </c>
    </row>
    <row r="322" spans="1:8" s="13" customFormat="1" x14ac:dyDescent="0.35">
      <c r="A322" s="8" t="s">
        <v>260</v>
      </c>
      <c r="B322" s="10" t="s">
        <v>54</v>
      </c>
      <c r="C322" s="10" t="s">
        <v>404</v>
      </c>
      <c r="D322" s="10" t="s">
        <v>406</v>
      </c>
      <c r="E322" s="12">
        <v>30</v>
      </c>
      <c r="F322" s="28" t="s">
        <v>263</v>
      </c>
      <c r="G322" s="12">
        <f t="shared" si="22"/>
        <v>0.66666666666666663</v>
      </c>
      <c r="H322" s="17" t="s">
        <v>57</v>
      </c>
    </row>
    <row r="323" spans="1:8" s="13" customFormat="1" x14ac:dyDescent="0.35">
      <c r="A323" s="8" t="s">
        <v>260</v>
      </c>
      <c r="B323" s="10" t="s">
        <v>54</v>
      </c>
      <c r="C323" s="10" t="s">
        <v>404</v>
      </c>
      <c r="D323" s="10" t="s">
        <v>407</v>
      </c>
      <c r="E323" s="12">
        <v>30</v>
      </c>
      <c r="F323" s="28" t="s">
        <v>263</v>
      </c>
      <c r="G323" s="12">
        <f t="shared" si="22"/>
        <v>0.66666666666666663</v>
      </c>
      <c r="H323" s="17" t="s">
        <v>57</v>
      </c>
    </row>
    <row r="324" spans="1:8" s="13" customFormat="1" x14ac:dyDescent="0.35">
      <c r="A324" s="8" t="s">
        <v>260</v>
      </c>
      <c r="B324" s="10" t="s">
        <v>45</v>
      </c>
      <c r="C324" s="10" t="s">
        <v>404</v>
      </c>
      <c r="D324" s="10" t="s">
        <v>407</v>
      </c>
      <c r="E324" s="12">
        <v>30</v>
      </c>
      <c r="F324" s="28" t="s">
        <v>263</v>
      </c>
      <c r="G324" s="12">
        <f t="shared" ref="G324:G354" si="24">20/E324</f>
        <v>0.66666666666666663</v>
      </c>
      <c r="H324" s="17" t="s">
        <v>57</v>
      </c>
    </row>
    <row r="325" spans="1:8" s="13" customFormat="1" x14ac:dyDescent="0.35">
      <c r="A325" s="14" t="s">
        <v>260</v>
      </c>
      <c r="B325" s="10" t="s">
        <v>45</v>
      </c>
      <c r="C325" s="10" t="s">
        <v>404</v>
      </c>
      <c r="D325" s="10" t="s">
        <v>408</v>
      </c>
      <c r="E325" s="24">
        <v>30</v>
      </c>
      <c r="F325" s="37" t="s">
        <v>263</v>
      </c>
      <c r="G325" s="12">
        <f t="shared" si="24"/>
        <v>0.66666666666666663</v>
      </c>
      <c r="H325" s="17" t="s">
        <v>266</v>
      </c>
    </row>
    <row r="326" spans="1:8" s="13" customFormat="1" x14ac:dyDescent="0.35">
      <c r="A326" s="14" t="s">
        <v>260</v>
      </c>
      <c r="B326" s="10" t="s">
        <v>54</v>
      </c>
      <c r="C326" s="10" t="s">
        <v>404</v>
      </c>
      <c r="D326" s="10" t="s">
        <v>409</v>
      </c>
      <c r="E326" s="24">
        <v>30</v>
      </c>
      <c r="F326" s="37" t="s">
        <v>263</v>
      </c>
      <c r="G326" s="12">
        <f t="shared" si="24"/>
        <v>0.66666666666666663</v>
      </c>
      <c r="H326" s="17" t="s">
        <v>266</v>
      </c>
    </row>
    <row r="327" spans="1:8" s="13" customFormat="1" x14ac:dyDescent="0.35">
      <c r="A327" s="14" t="s">
        <v>260</v>
      </c>
      <c r="B327" s="10" t="s">
        <v>54</v>
      </c>
      <c r="C327" s="10" t="s">
        <v>404</v>
      </c>
      <c r="D327" s="10" t="s">
        <v>410</v>
      </c>
      <c r="E327" s="24">
        <v>30</v>
      </c>
      <c r="F327" s="37" t="s">
        <v>263</v>
      </c>
      <c r="G327" s="12">
        <f t="shared" si="24"/>
        <v>0.66666666666666663</v>
      </c>
      <c r="H327" s="17" t="s">
        <v>266</v>
      </c>
    </row>
    <row r="328" spans="1:8" s="13" customFormat="1" x14ac:dyDescent="0.35">
      <c r="A328" s="14" t="s">
        <v>260</v>
      </c>
      <c r="B328" s="10" t="s">
        <v>54</v>
      </c>
      <c r="C328" s="10" t="s">
        <v>404</v>
      </c>
      <c r="D328" s="10" t="s">
        <v>411</v>
      </c>
      <c r="E328" s="24">
        <v>30</v>
      </c>
      <c r="F328" s="37" t="s">
        <v>263</v>
      </c>
      <c r="G328" s="12">
        <f t="shared" si="24"/>
        <v>0.66666666666666663</v>
      </c>
      <c r="H328" s="17" t="s">
        <v>266</v>
      </c>
    </row>
    <row r="329" spans="1:8" s="13" customFormat="1" x14ac:dyDescent="0.35">
      <c r="A329" s="8" t="s">
        <v>260</v>
      </c>
      <c r="B329" s="10" t="s">
        <v>54</v>
      </c>
      <c r="C329" s="10" t="s">
        <v>412</v>
      </c>
      <c r="D329" s="10" t="s">
        <v>413</v>
      </c>
      <c r="E329" s="12">
        <v>15</v>
      </c>
      <c r="F329" s="28" t="s">
        <v>52</v>
      </c>
      <c r="G329" s="12">
        <f t="shared" si="24"/>
        <v>1.3333333333333333</v>
      </c>
      <c r="H329" s="17" t="s">
        <v>57</v>
      </c>
    </row>
    <row r="330" spans="1:8" s="13" customFormat="1" x14ac:dyDescent="0.35">
      <c r="A330" s="8" t="s">
        <v>260</v>
      </c>
      <c r="B330" s="10" t="s">
        <v>54</v>
      </c>
      <c r="C330" s="11" t="s">
        <v>412</v>
      </c>
      <c r="D330" s="11" t="s">
        <v>414</v>
      </c>
      <c r="E330" s="12">
        <v>15</v>
      </c>
      <c r="F330" s="28" t="s">
        <v>415</v>
      </c>
      <c r="G330" s="12">
        <f t="shared" si="24"/>
        <v>1.3333333333333333</v>
      </c>
      <c r="H330" s="17" t="s">
        <v>57</v>
      </c>
    </row>
    <row r="331" spans="1:8" s="13" customFormat="1" x14ac:dyDescent="0.35">
      <c r="A331" s="8" t="s">
        <v>260</v>
      </c>
      <c r="B331" s="10" t="s">
        <v>45</v>
      </c>
      <c r="C331" s="11" t="s">
        <v>412</v>
      </c>
      <c r="D331" s="11" t="s">
        <v>414</v>
      </c>
      <c r="E331" s="12">
        <v>15</v>
      </c>
      <c r="F331" s="28" t="s">
        <v>415</v>
      </c>
      <c r="G331" s="12">
        <f t="shared" si="24"/>
        <v>1.3333333333333333</v>
      </c>
      <c r="H331" s="17" t="s">
        <v>57</v>
      </c>
    </row>
    <row r="332" spans="1:8" s="13" customFormat="1" x14ac:dyDescent="0.35">
      <c r="A332" s="8" t="s">
        <v>260</v>
      </c>
      <c r="B332" s="10" t="s">
        <v>45</v>
      </c>
      <c r="C332" s="10" t="s">
        <v>416</v>
      </c>
      <c r="D332" s="10" t="s">
        <v>417</v>
      </c>
      <c r="E332" s="12">
        <v>60</v>
      </c>
      <c r="F332" s="28" t="s">
        <v>52</v>
      </c>
      <c r="G332" s="12">
        <f t="shared" si="24"/>
        <v>0.33333333333333331</v>
      </c>
      <c r="H332" s="17" t="s">
        <v>418</v>
      </c>
    </row>
    <row r="333" spans="1:8" s="13" customFormat="1" x14ac:dyDescent="0.35">
      <c r="A333" s="16" t="s">
        <v>260</v>
      </c>
      <c r="B333" s="21" t="s">
        <v>54</v>
      </c>
      <c r="C333" s="21" t="s">
        <v>416</v>
      </c>
      <c r="D333" s="21" t="s">
        <v>419</v>
      </c>
      <c r="E333" s="12">
        <v>60</v>
      </c>
      <c r="F333" s="28" t="s">
        <v>52</v>
      </c>
      <c r="G333" s="12">
        <f t="shared" si="24"/>
        <v>0.33333333333333331</v>
      </c>
      <c r="H333" s="17" t="s">
        <v>418</v>
      </c>
    </row>
    <row r="334" spans="1:8" s="13" customFormat="1" x14ac:dyDescent="0.35">
      <c r="A334" s="14" t="s">
        <v>260</v>
      </c>
      <c r="B334" s="10" t="s">
        <v>54</v>
      </c>
      <c r="C334" s="10" t="s">
        <v>416</v>
      </c>
      <c r="D334" s="10" t="s">
        <v>420</v>
      </c>
      <c r="E334" s="12">
        <v>30</v>
      </c>
      <c r="F334" s="28" t="s">
        <v>263</v>
      </c>
      <c r="G334" s="12">
        <f t="shared" si="24"/>
        <v>0.66666666666666663</v>
      </c>
      <c r="H334" s="17" t="s">
        <v>62</v>
      </c>
    </row>
    <row r="335" spans="1:8" s="13" customFormat="1" x14ac:dyDescent="0.35">
      <c r="A335" s="8" t="s">
        <v>260</v>
      </c>
      <c r="B335" s="10" t="s">
        <v>54</v>
      </c>
      <c r="C335" s="10" t="s">
        <v>416</v>
      </c>
      <c r="D335" s="10" t="s">
        <v>421</v>
      </c>
      <c r="E335" s="12">
        <v>60</v>
      </c>
      <c r="F335" s="28" t="s">
        <v>52</v>
      </c>
      <c r="G335" s="12">
        <f t="shared" si="24"/>
        <v>0.33333333333333331</v>
      </c>
      <c r="H335" s="17" t="s">
        <v>418</v>
      </c>
    </row>
    <row r="336" spans="1:8" s="13" customFormat="1" x14ac:dyDescent="0.35">
      <c r="A336" s="8" t="s">
        <v>260</v>
      </c>
      <c r="B336" s="10" t="s">
        <v>54</v>
      </c>
      <c r="C336" s="10" t="s">
        <v>416</v>
      </c>
      <c r="D336" s="10" t="s">
        <v>422</v>
      </c>
      <c r="E336" s="12">
        <v>2</v>
      </c>
      <c r="F336" s="28" t="s">
        <v>61</v>
      </c>
      <c r="G336" s="12">
        <f t="shared" ref="G336" si="25">20/E336</f>
        <v>10</v>
      </c>
      <c r="H336" s="17" t="s">
        <v>423</v>
      </c>
    </row>
    <row r="337" spans="1:8" s="13" customFormat="1" x14ac:dyDescent="0.35">
      <c r="A337" s="8" t="s">
        <v>260</v>
      </c>
      <c r="B337" s="10" t="s">
        <v>50</v>
      </c>
      <c r="C337" s="10" t="s">
        <v>416</v>
      </c>
      <c r="D337" s="10" t="s">
        <v>424</v>
      </c>
      <c r="E337" s="12">
        <v>60</v>
      </c>
      <c r="F337" s="28" t="s">
        <v>52</v>
      </c>
      <c r="G337" s="12">
        <f t="shared" si="24"/>
        <v>0.33333333333333331</v>
      </c>
      <c r="H337" s="17" t="s">
        <v>418</v>
      </c>
    </row>
    <row r="338" spans="1:8" s="13" customFormat="1" x14ac:dyDescent="0.35">
      <c r="A338" s="8" t="s">
        <v>260</v>
      </c>
      <c r="B338" s="10" t="s">
        <v>136</v>
      </c>
      <c r="C338" s="10" t="s">
        <v>416</v>
      </c>
      <c r="D338" s="10" t="s">
        <v>424</v>
      </c>
      <c r="E338" s="12">
        <v>60</v>
      </c>
      <c r="F338" s="28" t="s">
        <v>52</v>
      </c>
      <c r="G338" s="12">
        <f t="shared" si="24"/>
        <v>0.33333333333333331</v>
      </c>
      <c r="H338" s="17" t="s">
        <v>418</v>
      </c>
    </row>
    <row r="339" spans="1:8" s="13" customFormat="1" x14ac:dyDescent="0.35">
      <c r="A339" s="8" t="s">
        <v>260</v>
      </c>
      <c r="B339" s="10" t="s">
        <v>54</v>
      </c>
      <c r="C339" s="10" t="s">
        <v>416</v>
      </c>
      <c r="D339" s="10" t="s">
        <v>425</v>
      </c>
      <c r="E339" s="12">
        <v>60</v>
      </c>
      <c r="F339" s="28" t="s">
        <v>52</v>
      </c>
      <c r="G339" s="12">
        <f t="shared" si="24"/>
        <v>0.33333333333333331</v>
      </c>
      <c r="H339" s="17" t="s">
        <v>418</v>
      </c>
    </row>
    <row r="340" spans="1:8" x14ac:dyDescent="0.35">
      <c r="A340" s="7" t="s">
        <v>260</v>
      </c>
      <c r="B340" s="7" t="s">
        <v>50</v>
      </c>
      <c r="C340" s="7" t="s">
        <v>416</v>
      </c>
      <c r="D340" s="7" t="s">
        <v>426</v>
      </c>
      <c r="E340" s="12">
        <v>60</v>
      </c>
      <c r="F340" s="28" t="s">
        <v>52</v>
      </c>
      <c r="G340" s="12">
        <f t="shared" si="24"/>
        <v>0.33333333333333331</v>
      </c>
      <c r="H340" s="17" t="s">
        <v>418</v>
      </c>
    </row>
    <row r="341" spans="1:8" x14ac:dyDescent="0.35">
      <c r="A341" s="14" t="s">
        <v>260</v>
      </c>
      <c r="B341" s="9" t="s">
        <v>54</v>
      </c>
      <c r="C341" s="9" t="s">
        <v>416</v>
      </c>
      <c r="D341" s="9" t="s">
        <v>427</v>
      </c>
      <c r="E341" s="12">
        <v>30</v>
      </c>
      <c r="F341" s="28" t="s">
        <v>263</v>
      </c>
      <c r="G341" s="12">
        <f t="shared" si="24"/>
        <v>0.66666666666666663</v>
      </c>
      <c r="H341" s="17" t="s">
        <v>62</v>
      </c>
    </row>
    <row r="342" spans="1:8" x14ac:dyDescent="0.35">
      <c r="A342" s="14" t="s">
        <v>260</v>
      </c>
      <c r="B342" s="9" t="s">
        <v>45</v>
      </c>
      <c r="C342" s="9" t="s">
        <v>416</v>
      </c>
      <c r="D342" s="9" t="s">
        <v>427</v>
      </c>
      <c r="E342" s="12">
        <v>30</v>
      </c>
      <c r="F342" s="28" t="s">
        <v>263</v>
      </c>
      <c r="G342" s="12">
        <f t="shared" si="24"/>
        <v>0.66666666666666663</v>
      </c>
      <c r="H342" s="17" t="s">
        <v>62</v>
      </c>
    </row>
    <row r="343" spans="1:8" x14ac:dyDescent="0.35">
      <c r="A343" s="8" t="s">
        <v>260</v>
      </c>
      <c r="B343" s="9" t="s">
        <v>54</v>
      </c>
      <c r="C343" s="9" t="s">
        <v>416</v>
      </c>
      <c r="D343" s="9" t="s">
        <v>428</v>
      </c>
      <c r="E343" s="12">
        <v>60</v>
      </c>
      <c r="F343" s="28" t="s">
        <v>52</v>
      </c>
      <c r="G343" s="12">
        <f t="shared" si="24"/>
        <v>0.33333333333333331</v>
      </c>
      <c r="H343" s="17" t="s">
        <v>418</v>
      </c>
    </row>
    <row r="344" spans="1:8" x14ac:dyDescent="0.35">
      <c r="A344" s="8" t="s">
        <v>260</v>
      </c>
      <c r="B344" s="9" t="s">
        <v>54</v>
      </c>
      <c r="C344" s="9" t="s">
        <v>416</v>
      </c>
      <c r="D344" s="9" t="s">
        <v>429</v>
      </c>
      <c r="E344" s="12">
        <v>60</v>
      </c>
      <c r="F344" s="28" t="s">
        <v>52</v>
      </c>
      <c r="G344" s="12">
        <f t="shared" si="24"/>
        <v>0.33333333333333331</v>
      </c>
      <c r="H344" s="17" t="s">
        <v>418</v>
      </c>
    </row>
    <row r="345" spans="1:8" x14ac:dyDescent="0.35">
      <c r="A345" s="7" t="s">
        <v>260</v>
      </c>
      <c r="B345" s="7" t="s">
        <v>98</v>
      </c>
      <c r="C345" s="7" t="s">
        <v>416</v>
      </c>
      <c r="D345" s="7" t="s">
        <v>430</v>
      </c>
      <c r="E345" s="12">
        <v>60</v>
      </c>
      <c r="F345" s="7" t="s">
        <v>431</v>
      </c>
      <c r="G345" s="12">
        <f t="shared" si="24"/>
        <v>0.33333333333333331</v>
      </c>
      <c r="H345" s="17" t="s">
        <v>418</v>
      </c>
    </row>
    <row r="346" spans="1:8" x14ac:dyDescent="0.35">
      <c r="A346" s="8" t="s">
        <v>260</v>
      </c>
      <c r="B346" s="9" t="s">
        <v>54</v>
      </c>
      <c r="C346" s="9" t="s">
        <v>416</v>
      </c>
      <c r="D346" s="9" t="s">
        <v>432</v>
      </c>
      <c r="E346" s="12">
        <v>60</v>
      </c>
      <c r="F346" s="28" t="s">
        <v>52</v>
      </c>
      <c r="G346" s="12">
        <f t="shared" si="24"/>
        <v>0.33333333333333331</v>
      </c>
      <c r="H346" s="17" t="s">
        <v>418</v>
      </c>
    </row>
    <row r="347" spans="1:8" x14ac:dyDescent="0.35">
      <c r="A347" s="8" t="s">
        <v>260</v>
      </c>
      <c r="B347" s="9" t="s">
        <v>54</v>
      </c>
      <c r="C347" s="9" t="s">
        <v>416</v>
      </c>
      <c r="D347" s="9" t="s">
        <v>433</v>
      </c>
      <c r="E347" s="12">
        <v>60</v>
      </c>
      <c r="F347" s="28" t="s">
        <v>52</v>
      </c>
      <c r="G347" s="12">
        <f t="shared" si="24"/>
        <v>0.33333333333333331</v>
      </c>
      <c r="H347" s="17" t="s">
        <v>418</v>
      </c>
    </row>
    <row r="348" spans="1:8" x14ac:dyDescent="0.35">
      <c r="A348" s="8" t="s">
        <v>260</v>
      </c>
      <c r="B348" s="9" t="s">
        <v>54</v>
      </c>
      <c r="C348" s="9" t="s">
        <v>416</v>
      </c>
      <c r="D348" s="9" t="s">
        <v>434</v>
      </c>
      <c r="E348" s="12">
        <v>60</v>
      </c>
      <c r="F348" s="28" t="s">
        <v>52</v>
      </c>
      <c r="G348" s="12">
        <f t="shared" si="24"/>
        <v>0.33333333333333331</v>
      </c>
      <c r="H348" s="17" t="s">
        <v>418</v>
      </c>
    </row>
    <row r="349" spans="1:8" x14ac:dyDescent="0.35">
      <c r="A349" s="8" t="s">
        <v>260</v>
      </c>
      <c r="B349" s="9" t="s">
        <v>45</v>
      </c>
      <c r="C349" s="9" t="s">
        <v>416</v>
      </c>
      <c r="D349" s="9" t="s">
        <v>434</v>
      </c>
      <c r="E349" s="12">
        <v>60</v>
      </c>
      <c r="F349" s="28" t="s">
        <v>52</v>
      </c>
      <c r="G349" s="12">
        <f t="shared" si="24"/>
        <v>0.33333333333333331</v>
      </c>
      <c r="H349" s="17" t="s">
        <v>418</v>
      </c>
    </row>
    <row r="350" spans="1:8" x14ac:dyDescent="0.35">
      <c r="A350" s="7" t="s">
        <v>260</v>
      </c>
      <c r="B350" s="7" t="s">
        <v>54</v>
      </c>
      <c r="C350" s="7" t="s">
        <v>416</v>
      </c>
      <c r="D350" s="7" t="s">
        <v>435</v>
      </c>
      <c r="E350" s="12">
        <v>60</v>
      </c>
      <c r="F350" s="7" t="s">
        <v>52</v>
      </c>
      <c r="G350" s="12">
        <f t="shared" si="24"/>
        <v>0.33333333333333331</v>
      </c>
      <c r="H350" s="17" t="s">
        <v>418</v>
      </c>
    </row>
    <row r="351" spans="1:8" x14ac:dyDescent="0.35">
      <c r="A351" s="8" t="s">
        <v>260</v>
      </c>
      <c r="B351" s="9" t="s">
        <v>54</v>
      </c>
      <c r="C351" s="9" t="s">
        <v>416</v>
      </c>
      <c r="D351" s="9" t="s">
        <v>436</v>
      </c>
      <c r="E351" s="12">
        <v>60</v>
      </c>
      <c r="F351" s="28" t="s">
        <v>52</v>
      </c>
      <c r="G351" s="12">
        <f t="shared" si="24"/>
        <v>0.33333333333333331</v>
      </c>
      <c r="H351" s="17" t="s">
        <v>418</v>
      </c>
    </row>
    <row r="352" spans="1:8" x14ac:dyDescent="0.35">
      <c r="A352" s="8" t="s">
        <v>260</v>
      </c>
      <c r="B352" s="9" t="s">
        <v>45</v>
      </c>
      <c r="C352" s="9" t="s">
        <v>416</v>
      </c>
      <c r="D352" s="9" t="s">
        <v>436</v>
      </c>
      <c r="E352" s="12">
        <v>60</v>
      </c>
      <c r="F352" s="28" t="s">
        <v>52</v>
      </c>
      <c r="G352" s="12">
        <f t="shared" si="24"/>
        <v>0.33333333333333331</v>
      </c>
      <c r="H352" s="17" t="s">
        <v>418</v>
      </c>
    </row>
    <row r="353" spans="1:8" x14ac:dyDescent="0.35">
      <c r="A353" s="8" t="s">
        <v>260</v>
      </c>
      <c r="B353" s="9" t="s">
        <v>54</v>
      </c>
      <c r="C353" s="9" t="s">
        <v>416</v>
      </c>
      <c r="D353" s="9" t="s">
        <v>437</v>
      </c>
      <c r="E353" s="12">
        <v>60</v>
      </c>
      <c r="F353" s="28" t="s">
        <v>52</v>
      </c>
      <c r="G353" s="12">
        <f t="shared" si="24"/>
        <v>0.33333333333333331</v>
      </c>
      <c r="H353" s="17" t="s">
        <v>418</v>
      </c>
    </row>
    <row r="354" spans="1:8" x14ac:dyDescent="0.35">
      <c r="A354" s="8" t="s">
        <v>260</v>
      </c>
      <c r="B354" s="9" t="s">
        <v>54</v>
      </c>
      <c r="C354" s="9" t="s">
        <v>416</v>
      </c>
      <c r="D354" s="9" t="s">
        <v>438</v>
      </c>
      <c r="E354" s="12">
        <v>60</v>
      </c>
      <c r="F354" s="28" t="s">
        <v>52</v>
      </c>
      <c r="G354" s="12">
        <f t="shared" si="24"/>
        <v>0.33333333333333331</v>
      </c>
      <c r="H354" s="17" t="s">
        <v>418</v>
      </c>
    </row>
    <row r="355" spans="1:8" x14ac:dyDescent="0.35">
      <c r="A355" s="8" t="s">
        <v>260</v>
      </c>
      <c r="B355" s="9" t="s">
        <v>54</v>
      </c>
      <c r="C355" s="9" t="s">
        <v>416</v>
      </c>
      <c r="D355" s="9" t="s">
        <v>439</v>
      </c>
      <c r="E355" s="12">
        <v>60</v>
      </c>
      <c r="F355" s="28" t="s">
        <v>52</v>
      </c>
      <c r="G355" s="12">
        <f t="shared" ref="G355:G366" si="26">20/E355</f>
        <v>0.33333333333333331</v>
      </c>
      <c r="H355" s="17" t="s">
        <v>418</v>
      </c>
    </row>
    <row r="356" spans="1:8" x14ac:dyDescent="0.35">
      <c r="A356" s="7" t="s">
        <v>260</v>
      </c>
      <c r="B356" s="7" t="s">
        <v>50</v>
      </c>
      <c r="C356" s="7" t="s">
        <v>416</v>
      </c>
      <c r="D356" s="7" t="s">
        <v>440</v>
      </c>
      <c r="E356" s="12">
        <v>60</v>
      </c>
      <c r="F356" s="28" t="s">
        <v>52</v>
      </c>
      <c r="G356" s="12">
        <f t="shared" si="26"/>
        <v>0.33333333333333331</v>
      </c>
      <c r="H356" s="17" t="s">
        <v>418</v>
      </c>
    </row>
    <row r="357" spans="1:8" x14ac:dyDescent="0.35">
      <c r="A357" s="7" t="s">
        <v>260</v>
      </c>
      <c r="B357" s="7" t="s">
        <v>54</v>
      </c>
      <c r="C357" s="7" t="s">
        <v>416</v>
      </c>
      <c r="D357" s="7" t="s">
        <v>441</v>
      </c>
      <c r="E357" s="12">
        <v>60</v>
      </c>
      <c r="F357" s="28" t="s">
        <v>52</v>
      </c>
      <c r="G357" s="12">
        <f t="shared" si="26"/>
        <v>0.33333333333333331</v>
      </c>
      <c r="H357" s="17" t="s">
        <v>418</v>
      </c>
    </row>
    <row r="358" spans="1:8" x14ac:dyDescent="0.35">
      <c r="A358" s="7" t="s">
        <v>260</v>
      </c>
      <c r="B358" s="7" t="s">
        <v>50</v>
      </c>
      <c r="C358" s="7" t="s">
        <v>416</v>
      </c>
      <c r="D358" s="7" t="s">
        <v>442</v>
      </c>
      <c r="E358" s="12">
        <v>60</v>
      </c>
      <c r="F358" s="28" t="s">
        <v>52</v>
      </c>
      <c r="G358" s="12">
        <f t="shared" si="26"/>
        <v>0.33333333333333331</v>
      </c>
      <c r="H358" s="17" t="s">
        <v>418</v>
      </c>
    </row>
    <row r="359" spans="1:8" x14ac:dyDescent="0.35">
      <c r="A359" s="16" t="s">
        <v>260</v>
      </c>
      <c r="B359" s="7" t="s">
        <v>54</v>
      </c>
      <c r="C359" s="7" t="s">
        <v>416</v>
      </c>
      <c r="D359" s="7" t="s">
        <v>443</v>
      </c>
      <c r="E359" s="12">
        <v>60</v>
      </c>
      <c r="F359" s="28" t="s">
        <v>52</v>
      </c>
      <c r="G359" s="12">
        <f t="shared" si="26"/>
        <v>0.33333333333333331</v>
      </c>
      <c r="H359" s="17" t="s">
        <v>418</v>
      </c>
    </row>
    <row r="360" spans="1:8" x14ac:dyDescent="0.35">
      <c r="A360" s="16" t="s">
        <v>260</v>
      </c>
      <c r="B360" s="7" t="s">
        <v>45</v>
      </c>
      <c r="C360" s="7" t="s">
        <v>416</v>
      </c>
      <c r="D360" s="7" t="s">
        <v>443</v>
      </c>
      <c r="E360" s="12">
        <v>60</v>
      </c>
      <c r="F360" s="28" t="s">
        <v>52</v>
      </c>
      <c r="G360" s="12">
        <f t="shared" si="26"/>
        <v>0.33333333333333331</v>
      </c>
      <c r="H360" s="17" t="s">
        <v>418</v>
      </c>
    </row>
    <row r="361" spans="1:8" x14ac:dyDescent="0.35">
      <c r="A361" s="8" t="s">
        <v>260</v>
      </c>
      <c r="B361" s="9" t="s">
        <v>54</v>
      </c>
      <c r="C361" s="9" t="s">
        <v>416</v>
      </c>
      <c r="D361" s="9" t="s">
        <v>444</v>
      </c>
      <c r="E361" s="12">
        <v>60</v>
      </c>
      <c r="F361" s="28" t="s">
        <v>52</v>
      </c>
      <c r="G361" s="12">
        <f t="shared" si="26"/>
        <v>0.33333333333333331</v>
      </c>
      <c r="H361" s="17" t="s">
        <v>418</v>
      </c>
    </row>
    <row r="362" spans="1:8" x14ac:dyDescent="0.35">
      <c r="A362" s="48" t="s">
        <v>445</v>
      </c>
      <c r="B362" s="48" t="s">
        <v>50</v>
      </c>
      <c r="C362" s="48" t="s">
        <v>446</v>
      </c>
      <c r="D362" s="48" t="s">
        <v>447</v>
      </c>
      <c r="E362" s="49">
        <v>30</v>
      </c>
      <c r="F362" s="48" t="s">
        <v>448</v>
      </c>
      <c r="G362" s="20">
        <f t="shared" si="26"/>
        <v>0.66666666666666663</v>
      </c>
      <c r="H362" s="50" t="s">
        <v>62</v>
      </c>
    </row>
    <row r="363" spans="1:8" x14ac:dyDescent="0.35">
      <c r="A363" s="16" t="s">
        <v>451</v>
      </c>
      <c r="B363" s="7" t="s">
        <v>54</v>
      </c>
      <c r="C363" s="7" t="s">
        <v>451</v>
      </c>
      <c r="D363" s="7" t="s">
        <v>452</v>
      </c>
      <c r="E363" s="46">
        <v>16</v>
      </c>
      <c r="F363" s="47" t="s">
        <v>61</v>
      </c>
      <c r="G363" s="20">
        <f t="shared" si="26"/>
        <v>1.25</v>
      </c>
      <c r="H363" s="17"/>
    </row>
    <row r="364" spans="1:8" x14ac:dyDescent="0.35">
      <c r="A364" s="16" t="s">
        <v>451</v>
      </c>
      <c r="B364" s="7" t="s">
        <v>54</v>
      </c>
      <c r="C364" s="7" t="s">
        <v>451</v>
      </c>
      <c r="D364" s="7" t="s">
        <v>453</v>
      </c>
      <c r="E364" s="46">
        <v>30</v>
      </c>
      <c r="F364" s="47" t="s">
        <v>52</v>
      </c>
      <c r="G364" s="20">
        <f t="shared" si="26"/>
        <v>0.66666666666666663</v>
      </c>
      <c r="H364" s="17"/>
    </row>
    <row r="365" spans="1:8" x14ac:dyDescent="0.35">
      <c r="A365" s="16" t="s">
        <v>451</v>
      </c>
      <c r="B365" s="7" t="s">
        <v>54</v>
      </c>
      <c r="C365" s="7" t="s">
        <v>451</v>
      </c>
      <c r="D365" s="7" t="s">
        <v>454</v>
      </c>
      <c r="E365" s="46">
        <v>4</v>
      </c>
      <c r="F365" s="47" t="s">
        <v>61</v>
      </c>
      <c r="G365" s="20">
        <f t="shared" si="26"/>
        <v>5</v>
      </c>
      <c r="H365" s="17"/>
    </row>
    <row r="366" spans="1:8" x14ac:dyDescent="0.35">
      <c r="A366" s="16" t="s">
        <v>451</v>
      </c>
      <c r="B366" s="7" t="s">
        <v>54</v>
      </c>
      <c r="C366" s="7" t="s">
        <v>451</v>
      </c>
      <c r="D366" s="7" t="s">
        <v>455</v>
      </c>
      <c r="E366" s="46">
        <v>30</v>
      </c>
      <c r="F366" s="47" t="s">
        <v>457</v>
      </c>
      <c r="G366" s="20">
        <f t="shared" si="26"/>
        <v>0.66666666666666663</v>
      </c>
      <c r="H366" s="17"/>
    </row>
    <row r="367" spans="1:8" x14ac:dyDescent="0.35">
      <c r="A367" s="16" t="s">
        <v>451</v>
      </c>
      <c r="B367" s="7" t="s">
        <v>54</v>
      </c>
      <c r="C367" s="7" t="s">
        <v>451</v>
      </c>
      <c r="D367" s="7" t="s">
        <v>456</v>
      </c>
      <c r="E367" s="29">
        <v>48</v>
      </c>
      <c r="F367" s="7" t="s">
        <v>52</v>
      </c>
      <c r="G367" s="20">
        <f t="shared" ref="G367" si="27">20/E367</f>
        <v>0.41666666666666669</v>
      </c>
      <c r="H367" s="17" t="s">
        <v>62</v>
      </c>
    </row>
  </sheetData>
  <sheetProtection algorithmName="SHA-512" hashValue="iO3Jm5yC8PZ/nhU3+/ir8+R6qK4oAbk4oGqeqn0X3bFXBcyqGeMNac9hGlF2OvBqBtnk7jRpBN0PMVsXQeIksA==" saltValue="FAMjmt8yqYB2PvbGMeOv5w==" spinCount="100000" sheet="1" objects="1" scenarios="1"/>
  <phoneticPr fontId="9" type="noConversion"/>
  <conditionalFormatting sqref="D368:D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8876-3A4E-4C1E-AFD2-15F29EFBA468}">
  <dimension ref="A1:D7"/>
  <sheetViews>
    <sheetView workbookViewId="0">
      <selection activeCell="D370" sqref="D370"/>
    </sheetView>
  </sheetViews>
  <sheetFormatPr defaultRowHeight="14.5" x14ac:dyDescent="0.35"/>
  <cols>
    <col min="1" max="1" width="15.26953125" bestFit="1" customWidth="1"/>
    <col min="2" max="3" width="15.1796875" bestFit="1" customWidth="1"/>
    <col min="4" max="4" width="78" bestFit="1" customWidth="1"/>
  </cols>
  <sheetData>
    <row r="1" spans="1:4" ht="26" x14ac:dyDescent="0.35">
      <c r="A1" s="6" t="s">
        <v>16</v>
      </c>
      <c r="B1" s="6" t="s">
        <v>18</v>
      </c>
      <c r="C1" s="6" t="s">
        <v>20</v>
      </c>
      <c r="D1" s="6" t="s">
        <v>39</v>
      </c>
    </row>
    <row r="2" spans="1:4" x14ac:dyDescent="0.35">
      <c r="A2" t="s">
        <v>45</v>
      </c>
      <c r="B2" t="str" cm="1">
        <f t="array" ref="B2">IF(Calculator!C19="", "", _xlfn._xlws.SORT(_xlfn.UNIQUE(_xlfn._xlws.FILTER('Credit Scores'!B2:B367,
  (('Credit Scores'!B2:B367=Calculator!C19) + ('Credit Scores'!B2:B367="U-wide")) *
  ((Calculator!C21="") + ('Credit Scores'!C2:C367=Calculator!C21)) *
  ((Calculator!C22="") + ('Credit Scores'!D2:D367=Calculator!C22))
))))</f>
        <v/>
      </c>
      <c r="C2" t="str" cm="1">
        <f t="array" ref="C2">IF(Calculator!C19="", "", _xlfn._xlws.SORT(_xlfn.UNIQUE(_xlfn._xlws.FILTER('Credit Scores'!C2:C367,
  ((Calculator!C20="") + ('Credit Scores'!B2:B367=Calculator!C20)) *
  ((Calculator!C22="") + ('Credit Scores'!D2:D367=Calculator!C22))
))))</f>
        <v/>
      </c>
      <c r="D2" t="str" cm="1">
        <f t="array" ref="D2">IF(Calculator!C19="", "", _xlfn._xlws.SORT(_xlfn.UNIQUE(_xlfn._xlws.FILTER('Credit Scores'!D2:D367,
  ((Calculator!C20="") + ('Credit Scores'!B2:B367=Calculator!C20)) *
  ((Calculator!C21="") + ('Credit Scores'!C2:C367=Calculator!C21))
))))</f>
        <v/>
      </c>
    </row>
    <row r="3" spans="1:4" x14ac:dyDescent="0.35">
      <c r="A3" t="s">
        <v>50</v>
      </c>
    </row>
    <row r="4" spans="1:4" x14ac:dyDescent="0.35">
      <c r="A4" t="s">
        <v>136</v>
      </c>
    </row>
    <row r="5" spans="1:4" x14ac:dyDescent="0.35">
      <c r="A5" t="s">
        <v>98</v>
      </c>
    </row>
    <row r="6" spans="1:4" x14ac:dyDescent="0.35">
      <c r="A6" t="s">
        <v>86</v>
      </c>
    </row>
    <row r="7" spans="1:4" x14ac:dyDescent="0.35">
      <c r="A7" t="s">
        <v>202</v>
      </c>
    </row>
  </sheetData>
  <sheetProtection algorithmName="SHA-512" hashValue="eB5R9uTNG6SmK5F34JwvEfVyz5ZfWqFz6vyJuHT0QKLhztSYaoOiuDOFUkwEElizziC5nPHwPmsJjc1+I24VgA==" saltValue="1yapa2aNIQSqc/OTL517HA==" spinCount="100000" sheet="1" objects="1" scenarios="1"/>
  <sortState xmlns:xlrd2="http://schemas.microsoft.com/office/spreadsheetml/2017/richdata2" ref="A2:A7">
    <sortCondition ref="A2:A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04776EBC692844B148D0017E998C4B" ma:contentTypeVersion="3" ma:contentTypeDescription="Create a new document." ma:contentTypeScope="" ma:versionID="0a6ec75287acb1657793057bfcf20d18">
  <xsd:schema xmlns:xsd="http://www.w3.org/2001/XMLSchema" xmlns:xs="http://www.w3.org/2001/XMLSchema" xmlns:p="http://schemas.microsoft.com/office/2006/metadata/properties" xmlns:ns2="f68b25d8-eb63-449e-a536-ca2098968268" targetNamespace="http://schemas.microsoft.com/office/2006/metadata/properties" ma:root="true" ma:fieldsID="af70cbddc0591934029bd78640955fb1" ns2:_="">
    <xsd:import namespace="f68b25d8-eb63-449e-a536-ca209896826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b25d8-eb63-449e-a536-ca20989682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E5691D-0D08-4B66-B33C-2142B2395FCB}">
  <ds:schemaRefs>
    <ds:schemaRef ds:uri="http://schemas.microsoft.com/sharepoint/v3/contenttype/forms"/>
  </ds:schemaRefs>
</ds:datastoreItem>
</file>

<file path=customXml/itemProps2.xml><?xml version="1.0" encoding="utf-8"?>
<ds:datastoreItem xmlns:ds="http://schemas.openxmlformats.org/officeDocument/2006/customXml" ds:itemID="{ACF9499A-119D-44F3-BD8D-6D0079E06789}">
  <ds:schemaRefs>
    <ds:schemaRef ds:uri="http://purl.org/dc/terms/"/>
    <ds:schemaRef ds:uri="http://schemas.openxmlformats.org/package/2006/metadata/core-properties"/>
    <ds:schemaRef ds:uri="http://schemas.microsoft.com/office/infopath/2007/PartnerControls"/>
    <ds:schemaRef ds:uri="f68b25d8-eb63-449e-a536-ca2098968268"/>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13C8714F-329E-4C20-A50B-C2DF9A8466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8b25d8-eb63-449e-a536-ca20989682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Calculator</vt:lpstr>
      <vt:lpstr>Credit Scores</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Tingshan He</dc:creator>
  <cp:keywords/>
  <dc:description/>
  <cp:lastModifiedBy>Thevagi D/O Silvarajoo</cp:lastModifiedBy>
  <cp:revision/>
  <dcterms:created xsi:type="dcterms:W3CDTF">2025-06-30T02:38:30Z</dcterms:created>
  <dcterms:modified xsi:type="dcterms:W3CDTF">2025-12-12T09:21:03Z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0x0101009504776EBC692844B148D0017E998C4B</vt:lpwstr>
  </property>
</Properties>
</file>